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dan\Documents\Carnegie Mellon University Grad School\Spring 2026\Decision Making under Uncertainty\"/>
    </mc:Choice>
  </mc:AlternateContent>
  <xr:revisionPtr revIDLastSave="0" documentId="13_ncr:1_{678369E1-2BC5-46E8-957D-D6C159F97C21}" xr6:coauthVersionLast="47" xr6:coauthVersionMax="47" xr10:uidLastSave="{00000000-0000-0000-0000-000000000000}"/>
  <bookViews>
    <workbookView xWindow="-120" yWindow="-120" windowWidth="38640" windowHeight="21240" xr2:uid="{DDD428FB-FD7A-467D-B447-941EE68B4389}"/>
  </bookViews>
  <sheets>
    <sheet name="Sensitivity Report 1" sheetId="2" r:id="rId1"/>
    <sheet name="Sheet1" sheetId="1" r:id="rId2"/>
  </sheets>
  <definedNames>
    <definedName name="solver_adj" localSheetId="1" hidden="1">Sheet1!$B$14:$D$17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Sheet1!$B$18:$D$18</definedName>
    <definedName name="solver_lhs2" localSheetId="1" hidden="1">Sheet1!$E$14:$E$17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Sheet1!$B$24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hs1" localSheetId="1" hidden="1">Sheet1!$B$19:$D$19</definedName>
    <definedName name="solver_rhs2" localSheetId="1" hidden="1">Sheet1!$F$14:$F$17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D19" i="1"/>
  <c r="C19" i="1"/>
  <c r="B19" i="1"/>
  <c r="D18" i="1"/>
  <c r="C18" i="1"/>
  <c r="B18" i="1"/>
  <c r="F17" i="1"/>
  <c r="E17" i="1"/>
  <c r="F16" i="1"/>
  <c r="E16" i="1"/>
  <c r="F15" i="1"/>
  <c r="E15" i="1"/>
  <c r="F14" i="1"/>
  <c r="E14" i="1"/>
  <c r="G15" i="1" l="1"/>
  <c r="H15" i="1" s="1"/>
  <c r="G17" i="1"/>
  <c r="H17" i="1" s="1"/>
  <c r="B20" i="1"/>
  <c r="B21" i="1" s="1"/>
  <c r="C20" i="1"/>
  <c r="C21" i="1" s="1"/>
  <c r="D20" i="1"/>
  <c r="D21" i="1" s="1"/>
  <c r="G14" i="1"/>
  <c r="H14" i="1" s="1"/>
  <c r="G16" i="1"/>
  <c r="H16" i="1" s="1"/>
</calcChain>
</file>

<file path=xl/sharedStrings.xml><?xml version="1.0" encoding="utf-8"?>
<sst xmlns="http://schemas.openxmlformats.org/spreadsheetml/2006/main" count="169" uniqueCount="138">
  <si>
    <t>Average revenue per ad displayed (Part A)</t>
  </si>
  <si>
    <t>Brand</t>
  </si>
  <si>
    <t>Nike</t>
  </si>
  <si>
    <t>Adidas</t>
  </si>
  <si>
    <t>Reebok</t>
  </si>
  <si>
    <t>Puma</t>
  </si>
  <si>
    <t>Affordability</t>
  </si>
  <si>
    <t>$5 * 10% = $0.50</t>
  </si>
  <si>
    <t>$10 * 10% = $1.00</t>
  </si>
  <si>
    <t>Comfort</t>
  </si>
  <si>
    <t>Performance</t>
  </si>
  <si>
    <t>$10 * 15% = $1.50</t>
  </si>
  <si>
    <t>$5 * 15% = $0.75</t>
  </si>
  <si>
    <t>$20 * 20% = $4.00</t>
  </si>
  <si>
    <t>$20 * 8% = $1.60</t>
  </si>
  <si>
    <t>$15 * 5% = $0.75</t>
  </si>
  <si>
    <t>$20 * 10% = $2.00</t>
  </si>
  <si>
    <t>$25 * 20% = $5.00</t>
  </si>
  <si>
    <t xml:space="preserve">max Profit = </t>
  </si>
  <si>
    <t>Query Constraints:</t>
  </si>
  <si>
    <t>Budget Constraints:</t>
  </si>
  <si>
    <t>0.50xN,Af + 0.50xN,C + 1.60xN,Pe ≤ 170,000     (NIKE)</t>
  </si>
  <si>
    <t>0.50xA,Af + 0.50xA,C + 1.60xA,Pe ≤ 150,000     (ADIDAS)</t>
  </si>
  <si>
    <t>0.50xR,Af + 0.50xR,C + 1.60xR,Pe ≤ 100,000     (REEBOK)</t>
  </si>
  <si>
    <t>0.50xP,Af + 0.50xP,C + 1.60xP,Pe ≤ 160,000     (PUMA)</t>
  </si>
  <si>
    <t>Query Limit</t>
  </si>
  <si>
    <t>Budget</t>
  </si>
  <si>
    <t>Status</t>
  </si>
  <si>
    <t>Displays Used</t>
  </si>
  <si>
    <t>Query Capacity</t>
  </si>
  <si>
    <t>Total Daily Revenue ($)   (Solver maximized)</t>
  </si>
  <si>
    <t>Leftover</t>
  </si>
  <si>
    <t>Budget Limit</t>
  </si>
  <si>
    <t>Revenue Used</t>
  </si>
  <si>
    <t>Query Leftover</t>
  </si>
  <si>
    <t>Part D: Optimal Revenue</t>
  </si>
  <si>
    <t>Part C/D: Solved Linear Program / Optimal Solution</t>
  </si>
  <si>
    <t>Part E:</t>
  </si>
  <si>
    <t>Part B: Linear Program</t>
  </si>
  <si>
    <r>
      <t>Brands: i</t>
    </r>
    <r>
      <rPr>
        <b/>
        <sz val="18"/>
        <color theme="1"/>
        <rFont val="Calibri"/>
        <family val="2"/>
        <scheme val="minor"/>
      </rPr>
      <t xml:space="preserve"> ∈ {N, A, R, P}</t>
    </r>
  </si>
  <si>
    <r>
      <t xml:space="preserve">User query categories: </t>
    </r>
    <r>
      <rPr>
        <b/>
        <sz val="18"/>
        <color theme="1"/>
        <rFont val="Calibri"/>
        <family val="2"/>
        <scheme val="minor"/>
      </rPr>
      <t>j ∈ {Af, C, Pe}</t>
    </r>
  </si>
  <si>
    <r>
      <t>*Non-negativity:* x</t>
    </r>
    <r>
      <rPr>
        <vertAlign val="subscript"/>
        <sz val="18"/>
        <color theme="1"/>
        <rFont val="Calibri"/>
        <family val="2"/>
        <scheme val="minor"/>
      </rPr>
      <t>ij</t>
    </r>
    <r>
      <rPr>
        <sz val="18"/>
        <color theme="1"/>
        <rFont val="Calibri"/>
        <family val="2"/>
        <scheme val="minor"/>
      </rPr>
      <t xml:space="preserve"> ≥ 0 for all i,j</t>
    </r>
  </si>
  <si>
    <r>
      <t>0.50x</t>
    </r>
    <r>
      <rPr>
        <vertAlign val="subscript"/>
        <sz val="18"/>
        <color theme="1"/>
        <rFont val="Calibri"/>
        <family val="2"/>
        <scheme val="minor"/>
      </rPr>
      <t>N,Af</t>
    </r>
    <r>
      <rPr>
        <sz val="18"/>
        <color theme="1"/>
        <rFont val="Calibri"/>
        <family val="2"/>
        <scheme val="minor"/>
      </rPr>
      <t>​ + 0.50x</t>
    </r>
    <r>
      <rPr>
        <vertAlign val="subscript"/>
        <sz val="18"/>
        <color theme="1"/>
        <rFont val="Calibri"/>
        <family val="2"/>
        <scheme val="minor"/>
      </rPr>
      <t>N,C ​</t>
    </r>
    <r>
      <rPr>
        <sz val="18"/>
        <color theme="1"/>
        <rFont val="Calibri"/>
        <family val="2"/>
        <scheme val="minor"/>
      </rPr>
      <t>+ 1.60x</t>
    </r>
    <r>
      <rPr>
        <vertAlign val="subscript"/>
        <sz val="18"/>
        <color theme="1"/>
        <rFont val="Calibri"/>
        <family val="2"/>
        <scheme val="minor"/>
      </rPr>
      <t>N,Pe</t>
    </r>
    <r>
      <rPr>
        <sz val="18"/>
        <color theme="1"/>
        <rFont val="Calibri"/>
        <family val="2"/>
        <scheme val="minor"/>
      </rPr>
      <t>​ + 0.50x</t>
    </r>
    <r>
      <rPr>
        <vertAlign val="subscript"/>
        <sz val="18"/>
        <color theme="1"/>
        <rFont val="Calibri"/>
        <family val="2"/>
        <scheme val="minor"/>
      </rPr>
      <t xml:space="preserve">A,Af </t>
    </r>
    <r>
      <rPr>
        <sz val="18"/>
        <color theme="1"/>
        <rFont val="Calibri"/>
        <family val="2"/>
        <scheme val="minor"/>
      </rPr>
      <t>+ 1.50x</t>
    </r>
    <r>
      <rPr>
        <vertAlign val="subscript"/>
        <sz val="18"/>
        <color theme="1"/>
        <rFont val="Calibri"/>
        <family val="2"/>
        <scheme val="minor"/>
      </rPr>
      <t xml:space="preserve">A,C </t>
    </r>
    <r>
      <rPr>
        <sz val="18"/>
        <color theme="1"/>
        <rFont val="Calibri"/>
        <family val="2"/>
        <scheme val="minor"/>
      </rPr>
      <t>+ 0.75x</t>
    </r>
    <r>
      <rPr>
        <vertAlign val="subscript"/>
        <sz val="18"/>
        <color theme="1"/>
        <rFont val="Calibri"/>
        <family val="2"/>
        <scheme val="minor"/>
      </rPr>
      <t xml:space="preserve">A,Pe </t>
    </r>
    <r>
      <rPr>
        <sz val="18"/>
        <color theme="1"/>
        <rFont val="Calibri"/>
        <family val="2"/>
        <scheme val="minor"/>
      </rPr>
      <t>+ 0.50x</t>
    </r>
    <r>
      <rPr>
        <vertAlign val="subscript"/>
        <sz val="18"/>
        <color theme="1"/>
        <rFont val="Calibri"/>
        <family val="2"/>
        <scheme val="minor"/>
      </rPr>
      <t>A,Af</t>
    </r>
    <r>
      <rPr>
        <sz val="18"/>
        <color theme="1"/>
        <rFont val="Calibri"/>
        <family val="2"/>
        <scheme val="minor"/>
      </rPr>
      <t xml:space="preserve"> + 1.50x</t>
    </r>
    <r>
      <rPr>
        <vertAlign val="subscript"/>
        <sz val="18"/>
        <color theme="1"/>
        <rFont val="Calibri"/>
        <family val="2"/>
        <scheme val="minor"/>
      </rPr>
      <t>A,C</t>
    </r>
    <r>
      <rPr>
        <sz val="18"/>
        <color theme="1"/>
        <rFont val="Calibri"/>
        <family val="2"/>
        <scheme val="minor"/>
      </rPr>
      <t xml:space="preserve"> + 0.75x</t>
    </r>
    <r>
      <rPr>
        <vertAlign val="subscript"/>
        <sz val="18"/>
        <color theme="1"/>
        <rFont val="Calibri"/>
        <family val="2"/>
        <scheme val="minor"/>
      </rPr>
      <t xml:space="preserve">A,Pe </t>
    </r>
    <r>
      <rPr>
        <sz val="18"/>
        <color theme="1"/>
        <rFont val="Calibri"/>
        <family val="2"/>
        <scheme val="minor"/>
      </rPr>
      <t>+ 0.50x</t>
    </r>
    <r>
      <rPr>
        <vertAlign val="subscript"/>
        <sz val="18"/>
        <color theme="1"/>
        <rFont val="Calibri"/>
        <family val="2"/>
        <scheme val="minor"/>
      </rPr>
      <t xml:space="preserve">A,Af </t>
    </r>
    <r>
      <rPr>
        <sz val="18"/>
        <color theme="1"/>
        <rFont val="Calibri"/>
        <family val="2"/>
        <scheme val="minor"/>
      </rPr>
      <t>​+ 1.50x</t>
    </r>
    <r>
      <rPr>
        <vertAlign val="subscript"/>
        <sz val="18"/>
        <color theme="1"/>
        <rFont val="Calibri"/>
        <family val="2"/>
        <scheme val="minor"/>
      </rPr>
      <t>A,C</t>
    </r>
    <r>
      <rPr>
        <sz val="18"/>
        <color theme="1"/>
        <rFont val="Calibri"/>
        <family val="2"/>
        <scheme val="minor"/>
      </rPr>
      <t>​ + 0.75x</t>
    </r>
    <r>
      <rPr>
        <vertAlign val="subscript"/>
        <sz val="18"/>
        <color theme="1"/>
        <rFont val="Calibri"/>
        <family val="2"/>
        <scheme val="minor"/>
      </rPr>
      <t>A,Pe</t>
    </r>
    <r>
      <rPr>
        <sz val="18"/>
        <color theme="1"/>
        <rFont val="Calibri"/>
        <family val="2"/>
        <scheme val="minor"/>
      </rPr>
      <t>​ + 1.00x</t>
    </r>
    <r>
      <rPr>
        <vertAlign val="subscript"/>
        <sz val="18"/>
        <color theme="1"/>
        <rFont val="Calibri"/>
        <family val="2"/>
        <scheme val="minor"/>
      </rPr>
      <t xml:space="preserve">R,Af </t>
    </r>
    <r>
      <rPr>
        <sz val="18"/>
        <color theme="1"/>
        <rFont val="Calibri"/>
        <family val="2"/>
        <scheme val="minor"/>
      </rPr>
      <t>+ 0.75x</t>
    </r>
    <r>
      <rPr>
        <vertAlign val="subscript"/>
        <sz val="18"/>
        <color theme="1"/>
        <rFont val="Calibri"/>
        <family val="2"/>
        <scheme val="minor"/>
      </rPr>
      <t xml:space="preserve">R,C </t>
    </r>
    <r>
      <rPr>
        <sz val="18"/>
        <color theme="1"/>
        <rFont val="Calibri"/>
        <family val="2"/>
        <scheme val="minor"/>
      </rPr>
      <t>+ 2.00x</t>
    </r>
    <r>
      <rPr>
        <vertAlign val="subscript"/>
        <sz val="18"/>
        <color theme="1"/>
        <rFont val="Calibri"/>
        <family val="2"/>
        <scheme val="minor"/>
      </rPr>
      <t xml:space="preserve">R,Pe </t>
    </r>
    <r>
      <rPr>
        <sz val="18"/>
        <color theme="1"/>
        <rFont val="Calibri"/>
        <family val="2"/>
        <scheme val="minor"/>
      </rPr>
      <t>+ 1.00x</t>
    </r>
    <r>
      <rPr>
        <vertAlign val="subscript"/>
        <sz val="18"/>
        <color theme="1"/>
        <rFont val="Calibri"/>
        <family val="2"/>
        <scheme val="minor"/>
      </rPr>
      <t>R,Af</t>
    </r>
    <r>
      <rPr>
        <sz val="18"/>
        <color theme="1"/>
        <rFont val="Calibri"/>
        <family val="2"/>
        <scheme val="minor"/>
      </rPr>
      <t xml:space="preserve"> + 0.75x</t>
    </r>
    <r>
      <rPr>
        <vertAlign val="subscript"/>
        <sz val="18"/>
        <color theme="1"/>
        <rFont val="Calibri"/>
        <family val="2"/>
        <scheme val="minor"/>
      </rPr>
      <t>R,C</t>
    </r>
    <r>
      <rPr>
        <sz val="18"/>
        <color theme="1"/>
        <rFont val="Calibri"/>
        <family val="2"/>
        <scheme val="minor"/>
      </rPr>
      <t xml:space="preserve"> + 2.00x</t>
    </r>
    <r>
      <rPr>
        <vertAlign val="subscript"/>
        <sz val="18"/>
        <color theme="1"/>
        <rFont val="Calibri"/>
        <family val="2"/>
        <scheme val="minor"/>
      </rPr>
      <t xml:space="preserve">R,Pe </t>
    </r>
    <r>
      <rPr>
        <sz val="18"/>
        <color theme="1"/>
        <rFont val="Calibri"/>
        <family val="2"/>
        <scheme val="minor"/>
      </rPr>
      <t>+ 1.00x</t>
    </r>
    <r>
      <rPr>
        <vertAlign val="subscript"/>
        <sz val="18"/>
        <color theme="1"/>
        <rFont val="Calibri"/>
        <family val="2"/>
        <scheme val="minor"/>
      </rPr>
      <t xml:space="preserve">R,Af </t>
    </r>
    <r>
      <rPr>
        <sz val="18"/>
        <color theme="1"/>
        <rFont val="Calibri"/>
        <family val="2"/>
        <scheme val="minor"/>
      </rPr>
      <t>​+ 0.75x</t>
    </r>
    <r>
      <rPr>
        <vertAlign val="subscript"/>
        <sz val="18"/>
        <color theme="1"/>
        <rFont val="Calibri"/>
        <family val="2"/>
        <scheme val="minor"/>
      </rPr>
      <t>R,C</t>
    </r>
    <r>
      <rPr>
        <sz val="18"/>
        <color theme="1"/>
        <rFont val="Calibri"/>
        <family val="2"/>
        <scheme val="minor"/>
      </rPr>
      <t>​ + 2.00x</t>
    </r>
    <r>
      <rPr>
        <vertAlign val="subscript"/>
        <sz val="18"/>
        <color theme="1"/>
        <rFont val="Calibri"/>
        <family val="2"/>
        <scheme val="minor"/>
      </rPr>
      <t>R,Pe</t>
    </r>
    <r>
      <rPr>
        <sz val="18"/>
        <color theme="1"/>
        <rFont val="Calibri"/>
        <family val="2"/>
        <scheme val="minor"/>
      </rPr>
      <t>​ + 0.50x</t>
    </r>
    <r>
      <rPr>
        <vertAlign val="subscript"/>
        <sz val="18"/>
        <color theme="1"/>
        <rFont val="Calibri"/>
        <family val="2"/>
        <scheme val="minor"/>
      </rPr>
      <t xml:space="preserve">P,Af </t>
    </r>
    <r>
      <rPr>
        <sz val="18"/>
        <color theme="1"/>
        <rFont val="Calibri"/>
        <family val="2"/>
        <scheme val="minor"/>
      </rPr>
      <t>+ 4.00x</t>
    </r>
    <r>
      <rPr>
        <vertAlign val="subscript"/>
        <sz val="18"/>
        <color theme="1"/>
        <rFont val="Calibri"/>
        <family val="2"/>
        <scheme val="minor"/>
      </rPr>
      <t xml:space="preserve">P,C </t>
    </r>
    <r>
      <rPr>
        <sz val="18"/>
        <color theme="1"/>
        <rFont val="Calibri"/>
        <family val="2"/>
        <scheme val="minor"/>
      </rPr>
      <t>+ 5.00x</t>
    </r>
    <r>
      <rPr>
        <vertAlign val="subscript"/>
        <sz val="18"/>
        <color theme="1"/>
        <rFont val="Calibri"/>
        <family val="2"/>
        <scheme val="minor"/>
      </rPr>
      <t xml:space="preserve">P,Pe </t>
    </r>
    <r>
      <rPr>
        <sz val="18"/>
        <color theme="1"/>
        <rFont val="Calibri"/>
        <family val="2"/>
        <scheme val="minor"/>
      </rPr>
      <t>+ 0.50x</t>
    </r>
    <r>
      <rPr>
        <vertAlign val="subscript"/>
        <sz val="18"/>
        <color theme="1"/>
        <rFont val="Calibri"/>
        <family val="2"/>
        <scheme val="minor"/>
      </rPr>
      <t>P,Af</t>
    </r>
    <r>
      <rPr>
        <sz val="18"/>
        <color theme="1"/>
        <rFont val="Calibri"/>
        <family val="2"/>
        <scheme val="minor"/>
      </rPr>
      <t xml:space="preserve"> + 4.00x</t>
    </r>
    <r>
      <rPr>
        <vertAlign val="subscript"/>
        <sz val="18"/>
        <color theme="1"/>
        <rFont val="Calibri"/>
        <family val="2"/>
        <scheme val="minor"/>
      </rPr>
      <t>P,C</t>
    </r>
    <r>
      <rPr>
        <sz val="18"/>
        <color theme="1"/>
        <rFont val="Calibri"/>
        <family val="2"/>
        <scheme val="minor"/>
      </rPr>
      <t xml:space="preserve"> + 5.00x</t>
    </r>
    <r>
      <rPr>
        <vertAlign val="subscript"/>
        <sz val="18"/>
        <color theme="1"/>
        <rFont val="Calibri"/>
        <family val="2"/>
        <scheme val="minor"/>
      </rPr>
      <t xml:space="preserve">P,Pe </t>
    </r>
    <r>
      <rPr>
        <sz val="18"/>
        <color theme="1"/>
        <rFont val="Calibri"/>
        <family val="2"/>
        <scheme val="minor"/>
      </rPr>
      <t>+ 0.50x</t>
    </r>
    <r>
      <rPr>
        <vertAlign val="subscript"/>
        <sz val="18"/>
        <color theme="1"/>
        <rFont val="Calibri"/>
        <family val="2"/>
        <scheme val="minor"/>
      </rPr>
      <t>P,Af ​</t>
    </r>
    <r>
      <rPr>
        <sz val="18"/>
        <color theme="1"/>
        <rFont val="Calibri"/>
        <family val="2"/>
        <scheme val="minor"/>
      </rPr>
      <t>+ 4.00x</t>
    </r>
    <r>
      <rPr>
        <vertAlign val="subscript"/>
        <sz val="18"/>
        <color theme="1"/>
        <rFont val="Calibri"/>
        <family val="2"/>
        <scheme val="minor"/>
      </rPr>
      <t>P,C</t>
    </r>
    <r>
      <rPr>
        <sz val="18"/>
        <color theme="1"/>
        <rFont val="Calibri"/>
        <family val="2"/>
        <scheme val="minor"/>
      </rPr>
      <t>​ + 5.00x</t>
    </r>
    <r>
      <rPr>
        <vertAlign val="subscript"/>
        <sz val="18"/>
        <color theme="1"/>
        <rFont val="Calibri"/>
        <family val="2"/>
        <scheme val="minor"/>
      </rPr>
      <t>P,Pe</t>
    </r>
    <r>
      <rPr>
        <sz val="18"/>
        <color theme="1"/>
        <rFont val="Calibri"/>
        <family val="2"/>
        <scheme val="minor"/>
      </rPr>
      <t>​</t>
    </r>
  </si>
  <si>
    <r>
      <t xml:space="preserve">xN,Af + xA,Af + xR,Af + xP,Af </t>
    </r>
    <r>
      <rPr>
        <sz val="18"/>
        <color theme="1"/>
        <rFont val="Calibri"/>
        <family val="2"/>
      </rPr>
      <t>≤ 170,000   (Affordability)</t>
    </r>
  </si>
  <si>
    <r>
      <t xml:space="preserve">xN,C + xA,C + xR,C + xP,C </t>
    </r>
    <r>
      <rPr>
        <sz val="18"/>
        <color theme="1"/>
        <rFont val="Calibri"/>
        <family val="2"/>
      </rPr>
      <t>≤ 110,000   (Comfort)</t>
    </r>
  </si>
  <si>
    <r>
      <t xml:space="preserve">xN,Pe + xA,Pe + xR,Pe + xP,Pe </t>
    </r>
    <r>
      <rPr>
        <sz val="18"/>
        <color theme="1"/>
        <rFont val="Calibri"/>
        <family val="2"/>
      </rPr>
      <t>≤ 100,000   (Performance)</t>
    </r>
  </si>
  <si>
    <t>A constraint is binding when it is zero at the optimum (leftover = 0). i.e. that resource is fully consumed. Relaxing a binding constraint could allow higher revenue but relaxing a non-binding one would not.</t>
  </si>
  <si>
    <t>Microsoft Excel 16.0 Sensitivity Report</t>
  </si>
  <si>
    <t>Worksheet: [HW1.xlsx]Sheet1</t>
  </si>
  <si>
    <t>Report Created: 3/20/2026 8:24:20 PM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</si>
  <si>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</si>
  <si>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</si>
  <si>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</si>
  <si>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</si>
  <si>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</si>
  <si>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</si>
  <si>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</si>
  <si>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</si>
  <si>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</si>
  <si>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</si>
  <si>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</si>
  <si>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</si>
  <si>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</si>
  <si>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</si>
  <si>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</si>
  <si>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</si>
  <si>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</si>
  <si>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$B$14</t>
  </si>
  <si>
    <t>Nike Affordability</t>
  </si>
  <si>
    <t>$C$14</t>
  </si>
  <si>
    <t>Nike Comfort</t>
  </si>
  <si>
    <t>$D$14</t>
  </si>
  <si>
    <t>Nike Performance</t>
  </si>
  <si>
    <t>$B$15</t>
  </si>
  <si>
    <t>Adidas Affordability</t>
  </si>
  <si>
    <t>$C$15</t>
  </si>
  <si>
    <t>Adidas Comfort</t>
  </si>
  <si>
    <t>$D$15</t>
  </si>
  <si>
    <t>Adidas Performance</t>
  </si>
  <si>
    <t>$B$16</t>
  </si>
  <si>
    <t>Reebok Affordability</t>
  </si>
  <si>
    <t>$C$16</t>
  </si>
  <si>
    <t>Reebok Comfort</t>
  </si>
  <si>
    <t>$D$16</t>
  </si>
  <si>
    <t>Reebok Performance</t>
  </si>
  <si>
    <t>$B$17</t>
  </si>
  <si>
    <t>Puma Affordability</t>
  </si>
  <si>
    <t>$C$17</t>
  </si>
  <si>
    <t>Puma Comfort</t>
  </si>
  <si>
    <t>$D$17</t>
  </si>
  <si>
    <t>Puma Performance</t>
  </si>
  <si>
    <t>$B$18</t>
  </si>
  <si>
    <t>Displays Used Affordability</t>
  </si>
  <si>
    <t>$C$18</t>
  </si>
  <si>
    <t>Displays Used Comfort</t>
  </si>
  <si>
    <t>$D$18</t>
  </si>
  <si>
    <t>Displays Used Performance</t>
  </si>
  <si>
    <t>$E$14</t>
  </si>
  <si>
    <t>Nike Revenue Used</t>
  </si>
  <si>
    <t>$E$15</t>
  </si>
  <si>
    <t>Adidas Revenue Used</t>
  </si>
  <si>
    <t>$E$16</t>
  </si>
  <si>
    <t>Reebok Revenue Used</t>
  </si>
  <si>
    <t>$E$17</t>
  </si>
  <si>
    <t>Puma Revenue Used</t>
  </si>
  <si>
    <t>Part F: Allowable Decrease from Sensitivity Report</t>
  </si>
  <si>
    <r>
      <t>Allowable decrease Nike/Affordability (x</t>
    </r>
    <r>
      <rPr>
        <vertAlign val="subscript"/>
        <sz val="14"/>
        <color theme="1"/>
        <rFont val="Calibri"/>
        <family val="2"/>
        <scheme val="minor"/>
      </rPr>
      <t>N,Af</t>
    </r>
    <r>
      <rPr>
        <sz val="14"/>
        <color theme="1"/>
        <rFont val="Calibri"/>
        <family val="2"/>
        <scheme val="minor"/>
      </rPr>
      <t>): $0.0733</t>
    </r>
  </si>
  <si>
    <r>
      <t>Reasoning from the sensitivity report:</t>
    </r>
    <r>
      <rPr>
        <sz val="11"/>
        <color theme="1"/>
        <rFont val="Calibri"/>
        <family val="2"/>
        <scheme val="minor"/>
      </rPr>
      <t xml:space="preserve"> The shadow price of the Affordability query constraint is 0.50. As the price per query for Nike/Afforability changes, this allows other competing queries to creep in such as Adidas/Affordability. This proximity in cost means that Nike/Affordability price per query can decrease by $0.073 before Adidas/Affordability without changing the optimal solution. After this point the optimal solution would change.</t>
    </r>
  </si>
  <si>
    <t>Part G: Allowable Increase from Sensitivity Report</t>
  </si>
  <si>
    <r>
      <t>Allowable increase Nike/Affordability (x</t>
    </r>
    <r>
      <rPr>
        <vertAlign val="subscript"/>
        <sz val="14"/>
        <color theme="1"/>
        <rFont val="Calibri"/>
        <family val="2"/>
        <scheme val="minor"/>
      </rPr>
      <t>N,Af</t>
    </r>
    <r>
      <rPr>
        <sz val="14"/>
        <color theme="1"/>
        <rFont val="Calibri"/>
        <family val="2"/>
        <scheme val="minor"/>
      </rPr>
      <t>): $0.30</t>
    </r>
  </si>
  <si>
    <r>
      <t>Reasoning from the sensitivity report:</t>
    </r>
    <r>
      <rPr>
        <sz val="11"/>
        <color theme="1"/>
        <rFont val="Calibri"/>
        <family val="2"/>
        <scheme val="minor"/>
      </rPr>
      <t xml:space="preserve"> The coefficient for revenue per ad of Nike/Affordability is $0.80. Reebok/Performance has the tightest reduced cost. If Nike/Affordability exceeds $0.80, then Reebok/Performance takes over and become the more attractive investment and change the optimal solution.</t>
    </r>
  </si>
  <si>
    <t>Scenario</t>
  </si>
  <si>
    <t>Change</t>
  </si>
  <si>
    <t>Shadow Price ($)</t>
  </si>
  <si>
    <t>Within Range?</t>
  </si>
  <si>
    <t>Predicted Revenue ($)</t>
  </si>
  <si>
    <t>Actual Revenue ($)</t>
  </si>
  <si>
    <t>Note</t>
  </si>
  <si>
    <t>Nike budget +20%  ($170k→$204k)</t>
  </si>
  <si>
    <t>+$34,000</t>
  </si>
  <si>
    <t>Yes</t>
  </si>
  <si>
    <t>Adidas budget +10% ($150k→$165k)</t>
  </si>
  <si>
    <t>+$15,000</t>
  </si>
  <si>
    <t>Reebok budget +20% ($100k→$120k)</t>
  </si>
  <si>
    <t>+$20,000</t>
  </si>
  <si>
    <t>Performance queries +10% (→110k)</t>
  </si>
  <si>
    <t>+10,000</t>
  </si>
  <si>
    <t>Allowable boundary; prediction holds</t>
  </si>
  <si>
    <t>No</t>
  </si>
  <si>
    <t>Shadow price = $0; extra budget earns nothing. Query slots constrained.</t>
  </si>
  <si>
    <t>Exceeds allowable range (8,375). Shadow price formula is invalid and model must re-run.</t>
  </si>
  <si>
    <t>Part H: Shadow Price Analysis</t>
  </si>
  <si>
    <t>95-760 Decision Making Under Uncertainty</t>
  </si>
  <si>
    <t>Peter Zhang</t>
  </si>
  <si>
    <t>Brendan Reed</t>
  </si>
  <si>
    <t>brreed@andrew.cmu.edu</t>
  </si>
  <si>
    <t>HW1</t>
  </si>
  <si>
    <t>Revenue change($)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</si>
</sst>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7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ourier New"/>
      <family val="3"/>
    </font>
    <font>
      <sz val="11"/>
      <color theme="1"/>
      <name val="Calibri"/>
      <family val="2"/>
      <charset val="1"/>
    </font>
    <font>
      <b/>
      <sz val="11"/>
      <name val="Calibri"/>
      <family val="2"/>
      <scheme val="minor"/>
    </font>
    <font>
      <sz val="11"/>
      <name val="Courier New"/>
      <family val="3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bscript"/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1"/>
      <color indexed="18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7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/>
    <xf numFmtId="0" fontId="5" fillId="0" borderId="0" xfId="0" applyFont="1"/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1" fillId="2" borderId="5" xfId="0" applyFont="1" applyFill="1" applyBorder="1"/>
    <xf numFmtId="174" fontId="1" fillId="2" borderId="6" xfId="0" applyNumberFormat="1" applyFont="1" applyFill="1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174" fontId="0" fillId="0" borderId="0" xfId="0" applyNumberFormat="1" applyBorder="1"/>
    <xf numFmtId="0" fontId="0" fillId="0" borderId="0" xfId="0" applyNumberFormat="1" applyBorder="1"/>
    <xf numFmtId="0" fontId="0" fillId="0" borderId="5" xfId="0" applyBorder="1"/>
    <xf numFmtId="0" fontId="0" fillId="0" borderId="10" xfId="0" applyBorder="1"/>
    <xf numFmtId="0" fontId="0" fillId="0" borderId="6" xfId="0" applyBorder="1"/>
    <xf numFmtId="0" fontId="8" fillId="0" borderId="0" xfId="0" applyFont="1" applyBorder="1"/>
    <xf numFmtId="0" fontId="5" fillId="0" borderId="0" xfId="0" applyFont="1" applyBorder="1"/>
    <xf numFmtId="0" fontId="0" fillId="0" borderId="3" xfId="0" applyBorder="1"/>
    <xf numFmtId="0" fontId="3" fillId="0" borderId="8" xfId="0" applyFont="1" applyBorder="1"/>
    <xf numFmtId="0" fontId="3" fillId="0" borderId="0" xfId="0" applyFont="1" applyBorder="1"/>
    <xf numFmtId="0" fontId="3" fillId="0" borderId="9" xfId="0" applyFont="1" applyBorder="1"/>
    <xf numFmtId="0" fontId="3" fillId="0" borderId="5" xfId="0" applyFont="1" applyBorder="1"/>
    <xf numFmtId="0" fontId="3" fillId="0" borderId="10" xfId="0" applyFont="1" applyBorder="1"/>
    <xf numFmtId="0" fontId="3" fillId="0" borderId="6" xfId="0" applyFont="1" applyBorder="1"/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3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0" xfId="0" applyFont="1" applyBorder="1"/>
    <xf numFmtId="0" fontId="11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5" xfId="0" applyFont="1" applyBorder="1"/>
    <xf numFmtId="0" fontId="11" fillId="0" borderId="10" xfId="0" applyFont="1" applyBorder="1"/>
    <xf numFmtId="0" fontId="0" fillId="0" borderId="13" xfId="0" applyFill="1" applyBorder="1" applyAlignment="1"/>
    <xf numFmtId="0" fontId="0" fillId="0" borderId="14" xfId="0" applyFill="1" applyBorder="1" applyAlignment="1"/>
    <xf numFmtId="0" fontId="14" fillId="0" borderId="11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7" fontId="0" fillId="0" borderId="13" xfId="0" applyNumberFormat="1" applyFill="1" applyBorder="1" applyAlignment="1"/>
    <xf numFmtId="7" fontId="0" fillId="0" borderId="14" xfId="0" applyNumberFormat="1" applyFill="1" applyBorder="1" applyAlignment="1"/>
    <xf numFmtId="0" fontId="1" fillId="0" borderId="8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0" fillId="0" borderId="3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8" xfId="0" applyFont="1" applyBorder="1"/>
    <xf numFmtId="0" fontId="4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wrapText="1"/>
    </xf>
  </cellXfs>
  <cellStyles count="2">
    <cellStyle name="Normal" xfId="0" builtinId="0"/>
    <cellStyle name="Normal 2" xfId="1" xr:uid="{07459565-08E6-420B-AAC1-BFA9208861E6}"/>
  </cellStyles>
  <dxfs count="1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family val="3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7500A"/>
        <name val="Courier New"/>
        <family val="3"/>
        <scheme val="none"/>
      </font>
      <fill>
        <patternFill patternType="solid">
          <fgColor indexed="64"/>
          <bgColor rgb="FFEAF3DE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69</xdr:row>
      <xdr:rowOff>0</xdr:rowOff>
    </xdr:from>
    <xdr:to>
      <xdr:col>8</xdr:col>
      <xdr:colOff>191656</xdr:colOff>
      <xdr:row>95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09CD88-07C5-BEAA-65F0-815A9D86B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030825"/>
          <a:ext cx="13767662" cy="5076825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68036</xdr:colOff>
      <xdr:row>107</xdr:row>
      <xdr:rowOff>0</xdr:rowOff>
    </xdr:from>
    <xdr:to>
      <xdr:col>8</xdr:col>
      <xdr:colOff>524383</xdr:colOff>
      <xdr:row>130</xdr:row>
      <xdr:rowOff>149678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260381-57C8-BA43-7C5B-2CAEEF9D1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6" y="26438679"/>
          <a:ext cx="14040518" cy="453117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535313-A3A1-4B3D-9756-33E797539A71}" name="Table4" displayName="Table4" ref="A32:D36" totalsRowShown="0" headerRowDxfId="18" dataDxfId="17">
  <autoFilter ref="A32:D36" xr:uid="{56535313-A3A1-4B3D-9756-33E797539A71}"/>
  <tableColumns count="4">
    <tableColumn id="1" xr3:uid="{65089158-FFFA-4BD0-9FC3-BB9E67801DCB}" name="Brand" dataDxfId="13"/>
    <tableColumn id="2" xr3:uid="{9F170114-C0CE-4209-977F-78BC355681C4}" name="Affordability" dataDxfId="12"/>
    <tableColumn id="3" xr3:uid="{640C92C0-1CD1-4473-B31E-6631DF5CB2C4}" name="Comfort" dataDxfId="11"/>
    <tableColumn id="4" xr3:uid="{FDF5DF6A-2B75-45A5-9D94-5A3E17289308}" name="Performanc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225227-DCA2-40BE-9233-2457D806FBA0}" name="Table5" displayName="Table5" ref="A13:H21" totalsRowShown="0">
  <autoFilter ref="A13:H21" xr:uid="{60225227-DCA2-40BE-9233-2457D806FBA0}"/>
  <tableColumns count="8">
    <tableColumn id="1" xr3:uid="{CA9FC6C0-BE49-4D6F-9D2D-84A31D57C0A6}" name="Brand"/>
    <tableColumn id="2" xr3:uid="{C528DDAA-EDAC-4646-B7C2-E7AE90C76487}" name="Affordability"/>
    <tableColumn id="3" xr3:uid="{947441C2-AD6A-4E2A-B7CA-03B3E2F33CDB}" name="Comfort"/>
    <tableColumn id="4" xr3:uid="{68231817-0C57-44B3-8877-208F37304D02}" name="Performance"/>
    <tableColumn id="5" xr3:uid="{0FA7943D-B5ED-4CDB-914A-A1BBF7613BA7}" name="Revenue Used"/>
    <tableColumn id="6" xr3:uid="{92373C5E-306A-492E-915F-8F49ED40428B}" name="Budget Limit"/>
    <tableColumn id="7" xr3:uid="{831B6536-7D63-4762-A9A2-23B2063522BD}" name="Leftover"/>
    <tableColumn id="8" xr3:uid="{A59E5E6C-492A-4B2E-934A-5F61FB5321F1}" name="Statu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2128A8-B772-41C8-AFFA-D66371CB8FB5}" name="Table6" displayName="Table6" ref="A5:E10" totalsRowShown="0" headerRowDxfId="15" dataDxfId="16" tableBorderDxfId="14">
  <autoFilter ref="A5:E10" xr:uid="{742128A8-B772-41C8-AFFA-D66371CB8FB5}"/>
  <tableColumns count="5">
    <tableColumn id="1" xr3:uid="{3F7B891B-4933-4B11-935C-0E1D2B3A25C8}" name="Brand"/>
    <tableColumn id="2" xr3:uid="{C8F0CFBE-B5F1-4423-8BBE-64D43C2A3B1A}" name="Affordability"/>
    <tableColumn id="3" xr3:uid="{F8FF3707-BAB2-40B5-8317-F1686D205334}" name="Comfort"/>
    <tableColumn id="4" xr3:uid="{861A7EC3-7A3D-4F58-B83E-409F735C3E72}" name="Performance"/>
    <tableColumn id="5" xr3:uid="{80C8E561-2938-48DE-B748-199676B35059}" name="Budget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672F1B-9752-4E99-8D5D-CD15927D6CC4}" name="Table8" displayName="Table8" ref="A139:H143" totalsRowShown="0" headerRowDxfId="9" dataDxfId="8">
  <autoFilter ref="A139:H143" xr:uid="{DE672F1B-9752-4E99-8D5D-CD15927D6CC4}"/>
  <tableColumns count="8">
    <tableColumn id="1" xr3:uid="{7E6C5583-FD6B-440C-8152-FE6FF81B37CC}" name="Scenario" dataDxfId="7"/>
    <tableColumn id="2" xr3:uid="{D7AF8DE1-1D5A-42C6-B936-F1E30E742BBC}" name="Change" dataDxfId="6"/>
    <tableColumn id="3" xr3:uid="{68C894D0-CD57-4205-8333-A34363FE50B6}" name="Shadow Price ($)" dataDxfId="5"/>
    <tableColumn id="4" xr3:uid="{E7DABB0C-F2A2-4F79-B71F-4E938EBE3C2B}" name="Within Range?" dataDxfId="4"/>
    <tableColumn id="5" xr3:uid="{A58C9D8F-40EC-4662-8B7E-1F1DA376FBEA}" name="Predicted Revenue ($)" dataDxfId="3"/>
    <tableColumn id="6" xr3:uid="{23B7207A-525C-4652-93A6-12C405CA2FBE}" name="Actual Revenue ($)" dataDxfId="2"/>
    <tableColumn id="7" xr3:uid="{55ED4D39-99E9-44E9-9D5F-472558092479}" name="Revenue change($)" dataDxfId="1"/>
    <tableColumn id="8" xr3:uid="{2777A9F7-10F8-46E1-B027-45DD0C42D729}" name="Not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08BD-49B4-49DA-93FE-22079F0B6D12}">
  <sheetPr>
    <pageSetUpPr fitToPage="1"/>
  </sheetPr>
  <dimension ref="A1:H31"/>
  <sheetViews>
    <sheetView showGridLines="0" tabSelected="1" workbookViewId="0">
      <selection activeCell="O37" sqref="O37"/>
    </sheetView>
  </sheetViews>
  <sheetFormatPr defaultRowHeight="15" x14ac:dyDescent="0.25"/>
  <cols>
    <col min="1" max="1" width="2.28515625" customWidth="1"/>
    <col min="2" max="2" width="6.28515625" bestFit="1" customWidth="1"/>
    <col min="3" max="3" width="25.5703125" bestFit="1" customWidth="1"/>
    <col min="4" max="4" width="11.85546875" bestFit="1" customWidth="1"/>
    <col min="5" max="5" width="12.7109375" bestFit="1" customWidth="1"/>
    <col min="6" max="6" width="10.85546875" bestFit="1" customWidth="1"/>
    <col min="7" max="7" width="12" bestFit="1" customWidth="1"/>
    <col min="8" max="8" width="15.28515625" customWidth="1"/>
  </cols>
  <sheetData>
    <row r="1" spans="1:8" x14ac:dyDescent="0.25">
      <c r="A1" s="7" t="s">
        <v>47</v>
      </c>
    </row>
    <row r="2" spans="1:8" x14ac:dyDescent="0.25">
      <c r="A2" s="7" t="s">
        <v>48</v>
      </c>
    </row>
    <row r="3" spans="1:8" x14ac:dyDescent="0.25">
      <c r="A3" s="7" t="s">
        <v>49</v>
      </c>
    </row>
    <row r="6" spans="1:8" ht="15.75" thickBot="1" x14ac:dyDescent="0.3">
      <c r="A6" t="s">
        <v>50</v>
      </c>
    </row>
    <row r="7" spans="1:8" x14ac:dyDescent="0.25">
      <c r="B7" s="48"/>
      <c r="C7" s="48"/>
      <c r="D7" s="48" t="s">
        <v>53</v>
      </c>
      <c r="E7" s="48" t="s">
        <v>55</v>
      </c>
      <c r="F7" s="48" t="s">
        <v>57</v>
      </c>
      <c r="G7" s="48" t="s">
        <v>59</v>
      </c>
      <c r="H7" s="48" t="s">
        <v>59</v>
      </c>
    </row>
    <row r="8" spans="1:8" ht="15.75" thickBot="1" x14ac:dyDescent="0.3">
      <c r="B8" s="49" t="s">
        <v>51</v>
      </c>
      <c r="C8" s="49" t="s">
        <v>52</v>
      </c>
      <c r="D8" s="49" t="s">
        <v>54</v>
      </c>
      <c r="E8" s="49" t="s">
        <v>56</v>
      </c>
      <c r="F8" s="49" t="s">
        <v>58</v>
      </c>
      <c r="G8" s="49" t="s">
        <v>60</v>
      </c>
      <c r="H8" s="49" t="s">
        <v>61</v>
      </c>
    </row>
    <row r="9" spans="1:8" x14ac:dyDescent="0.25">
      <c r="B9" s="46" t="s">
        <v>67</v>
      </c>
      <c r="C9" s="46" t="s">
        <v>68</v>
      </c>
      <c r="D9" s="46">
        <v>70000</v>
      </c>
      <c r="E9" s="46">
        <v>0</v>
      </c>
      <c r="F9" s="46">
        <v>0.5</v>
      </c>
      <c r="G9" s="46">
        <v>0.30000000000000004</v>
      </c>
      <c r="H9" s="46">
        <v>7.3333333333333695E-2</v>
      </c>
    </row>
    <row r="10" spans="1:8" x14ac:dyDescent="0.25">
      <c r="B10" s="46" t="s">
        <v>69</v>
      </c>
      <c r="C10" s="46" t="s">
        <v>70</v>
      </c>
      <c r="D10" s="46">
        <v>0</v>
      </c>
      <c r="E10" s="46">
        <v>-0.77999999999999847</v>
      </c>
      <c r="F10" s="46">
        <v>0.5</v>
      </c>
      <c r="G10" s="46">
        <v>0.77999999999999847</v>
      </c>
      <c r="H10" s="46">
        <v>1E+30</v>
      </c>
    </row>
    <row r="11" spans="1:8" x14ac:dyDescent="0.25">
      <c r="B11" s="46" t="s">
        <v>71</v>
      </c>
      <c r="C11" s="46" t="s">
        <v>72</v>
      </c>
      <c r="D11" s="46">
        <v>76000</v>
      </c>
      <c r="E11" s="46">
        <v>0</v>
      </c>
      <c r="F11" s="46">
        <v>1.6</v>
      </c>
      <c r="G11" s="46">
        <v>0.27500000000000135</v>
      </c>
      <c r="H11" s="46">
        <v>0.60000000000000009</v>
      </c>
    </row>
    <row r="12" spans="1:8" x14ac:dyDescent="0.25">
      <c r="B12" s="46" t="s">
        <v>73</v>
      </c>
      <c r="C12" s="46" t="s">
        <v>74</v>
      </c>
      <c r="D12" s="46">
        <v>0</v>
      </c>
      <c r="E12" s="46">
        <v>-7.3333333333333695E-2</v>
      </c>
      <c r="F12" s="46">
        <v>0.5</v>
      </c>
      <c r="G12" s="46">
        <v>7.3333333333333695E-2</v>
      </c>
      <c r="H12" s="46">
        <v>1E+30</v>
      </c>
    </row>
    <row r="13" spans="1:8" x14ac:dyDescent="0.25">
      <c r="B13" s="46" t="s">
        <v>75</v>
      </c>
      <c r="C13" s="46" t="s">
        <v>76</v>
      </c>
      <c r="D13" s="46">
        <v>100000</v>
      </c>
      <c r="E13" s="46">
        <v>0</v>
      </c>
      <c r="F13" s="46">
        <v>1.4999999999999996</v>
      </c>
      <c r="G13" s="46">
        <v>1E+30</v>
      </c>
      <c r="H13" s="46">
        <v>0.22000000000000108</v>
      </c>
    </row>
    <row r="14" spans="1:8" x14ac:dyDescent="0.25">
      <c r="B14" s="46" t="s">
        <v>77</v>
      </c>
      <c r="C14" s="46" t="s">
        <v>78</v>
      </c>
      <c r="D14" s="46">
        <v>0</v>
      </c>
      <c r="E14" s="46">
        <v>-0.96000000000000063</v>
      </c>
      <c r="F14" s="46">
        <v>0.75</v>
      </c>
      <c r="G14" s="46">
        <v>0.96000000000000063</v>
      </c>
      <c r="H14" s="46">
        <v>1E+30</v>
      </c>
    </row>
    <row r="15" spans="1:8" x14ac:dyDescent="0.25">
      <c r="B15" s="46" t="s">
        <v>79</v>
      </c>
      <c r="C15" s="46" t="s">
        <v>80</v>
      </c>
      <c r="D15" s="46">
        <v>100000</v>
      </c>
      <c r="E15" s="46">
        <v>0</v>
      </c>
      <c r="F15" s="46">
        <v>1</v>
      </c>
      <c r="G15" s="46">
        <v>1E+30</v>
      </c>
      <c r="H15" s="46">
        <v>0.30000000000000004</v>
      </c>
    </row>
    <row r="16" spans="1:8" x14ac:dyDescent="0.25">
      <c r="B16" s="46" t="s">
        <v>81</v>
      </c>
      <c r="C16" s="46" t="s">
        <v>82</v>
      </c>
      <c r="D16" s="46">
        <v>0</v>
      </c>
      <c r="E16" s="46">
        <v>-0.90499999999999847</v>
      </c>
      <c r="F16" s="46">
        <v>0.75</v>
      </c>
      <c r="G16" s="46">
        <v>0.90499999999999847</v>
      </c>
      <c r="H16" s="46">
        <v>1E+30</v>
      </c>
    </row>
    <row r="17" spans="1:8" x14ac:dyDescent="0.25">
      <c r="B17" s="46" t="s">
        <v>83</v>
      </c>
      <c r="C17" s="46" t="s">
        <v>84</v>
      </c>
      <c r="D17" s="46">
        <v>0</v>
      </c>
      <c r="E17" s="46">
        <v>-0.60000000000000009</v>
      </c>
      <c r="F17" s="46">
        <v>2</v>
      </c>
      <c r="G17" s="46">
        <v>0.60000000000000009</v>
      </c>
      <c r="H17" s="46">
        <v>1E+30</v>
      </c>
    </row>
    <row r="18" spans="1:8" x14ac:dyDescent="0.25">
      <c r="B18" s="46" t="s">
        <v>85</v>
      </c>
      <c r="C18" s="46" t="s">
        <v>86</v>
      </c>
      <c r="D18" s="46">
        <v>0</v>
      </c>
      <c r="E18" s="46">
        <v>-0.34000000000000019</v>
      </c>
      <c r="F18" s="46">
        <v>0.5</v>
      </c>
      <c r="G18" s="46">
        <v>0.34000000000000019</v>
      </c>
      <c r="H18" s="46">
        <v>1E+30</v>
      </c>
    </row>
    <row r="19" spans="1:8" x14ac:dyDescent="0.25">
      <c r="B19" s="46" t="s">
        <v>87</v>
      </c>
      <c r="C19" s="46" t="s">
        <v>88</v>
      </c>
      <c r="D19" s="46">
        <v>10000</v>
      </c>
      <c r="E19" s="46">
        <v>0</v>
      </c>
      <c r="F19" s="46">
        <v>4</v>
      </c>
      <c r="G19" s="46">
        <v>0.22000000000000108</v>
      </c>
      <c r="H19" s="46">
        <v>0.77999999999999847</v>
      </c>
    </row>
    <row r="20" spans="1:8" ht="15.75" thickBot="1" x14ac:dyDescent="0.3">
      <c r="B20" s="47" t="s">
        <v>89</v>
      </c>
      <c r="C20" s="47" t="s">
        <v>90</v>
      </c>
      <c r="D20" s="47">
        <v>24000</v>
      </c>
      <c r="E20" s="47">
        <v>0</v>
      </c>
      <c r="F20" s="47">
        <v>5.0000000000000018</v>
      </c>
      <c r="G20" s="47">
        <v>0.97499999999999809</v>
      </c>
      <c r="H20" s="47">
        <v>0.27500000000000135</v>
      </c>
    </row>
    <row r="22" spans="1:8" ht="15.75" thickBot="1" x14ac:dyDescent="0.3">
      <c r="A22" t="s">
        <v>62</v>
      </c>
    </row>
    <row r="23" spans="1:8" x14ac:dyDescent="0.25">
      <c r="B23" s="48"/>
      <c r="C23" s="48"/>
      <c r="D23" s="48" t="s">
        <v>53</v>
      </c>
      <c r="E23" s="48" t="s">
        <v>63</v>
      </c>
      <c r="F23" s="48" t="s">
        <v>65</v>
      </c>
      <c r="G23" s="48" t="s">
        <v>59</v>
      </c>
      <c r="H23" s="48" t="s">
        <v>59</v>
      </c>
    </row>
    <row r="24" spans="1:8" ht="15.75" thickBot="1" x14ac:dyDescent="0.3">
      <c r="B24" s="49" t="s">
        <v>51</v>
      </c>
      <c r="C24" s="49" t="s">
        <v>52</v>
      </c>
      <c r="D24" s="49" t="s">
        <v>54</v>
      </c>
      <c r="E24" s="49" t="s">
        <v>64</v>
      </c>
      <c r="F24" s="49" t="s">
        <v>66</v>
      </c>
      <c r="G24" s="49" t="s">
        <v>60</v>
      </c>
      <c r="H24" s="49" t="s">
        <v>61</v>
      </c>
    </row>
    <row r="25" spans="1:8" x14ac:dyDescent="0.25">
      <c r="B25" s="46" t="s">
        <v>91</v>
      </c>
      <c r="C25" s="46" t="s">
        <v>92</v>
      </c>
      <c r="D25" s="46">
        <v>170000</v>
      </c>
      <c r="E25" s="46">
        <v>0.5</v>
      </c>
      <c r="F25" s="46">
        <v>170000</v>
      </c>
      <c r="G25" s="46">
        <v>26800</v>
      </c>
      <c r="H25" s="46">
        <v>70000</v>
      </c>
    </row>
    <row r="26" spans="1:8" x14ac:dyDescent="0.25">
      <c r="B26" s="46" t="s">
        <v>93</v>
      </c>
      <c r="C26" s="46" t="s">
        <v>94</v>
      </c>
      <c r="D26" s="46">
        <v>110000</v>
      </c>
      <c r="E26" s="46">
        <v>1.2799999999999985</v>
      </c>
      <c r="F26" s="46">
        <v>110000</v>
      </c>
      <c r="G26" s="46">
        <v>10468.749999999998</v>
      </c>
      <c r="H26" s="46">
        <v>10000</v>
      </c>
    </row>
    <row r="27" spans="1:8" x14ac:dyDescent="0.25">
      <c r="B27" s="46" t="s">
        <v>95</v>
      </c>
      <c r="C27" s="46" t="s">
        <v>96</v>
      </c>
      <c r="D27" s="46">
        <v>100000</v>
      </c>
      <c r="E27" s="46">
        <v>1.6</v>
      </c>
      <c r="F27" s="46">
        <v>100000</v>
      </c>
      <c r="G27" s="46">
        <v>8375</v>
      </c>
      <c r="H27" s="46">
        <v>76000</v>
      </c>
    </row>
    <row r="28" spans="1:8" x14ac:dyDescent="0.25">
      <c r="B28" s="46" t="s">
        <v>97</v>
      </c>
      <c r="C28" s="46" t="s">
        <v>98</v>
      </c>
      <c r="D28" s="50">
        <v>156600</v>
      </c>
      <c r="E28" s="46">
        <v>0</v>
      </c>
      <c r="F28" s="46">
        <v>170000</v>
      </c>
      <c r="G28" s="46">
        <v>1E+30</v>
      </c>
      <c r="H28" s="46">
        <v>13400</v>
      </c>
    </row>
    <row r="29" spans="1:8" x14ac:dyDescent="0.25">
      <c r="B29" s="46" t="s">
        <v>99</v>
      </c>
      <c r="C29" s="46" t="s">
        <v>100</v>
      </c>
      <c r="D29" s="50">
        <v>150000</v>
      </c>
      <c r="E29" s="46">
        <v>0.14666666666666739</v>
      </c>
      <c r="F29" s="46">
        <v>150000</v>
      </c>
      <c r="G29" s="46">
        <v>15000</v>
      </c>
      <c r="H29" s="46">
        <v>15703.124999999996</v>
      </c>
    </row>
    <row r="30" spans="1:8" x14ac:dyDescent="0.25">
      <c r="B30" s="46" t="s">
        <v>101</v>
      </c>
      <c r="C30" s="46" t="s">
        <v>102</v>
      </c>
      <c r="D30" s="50">
        <v>100000</v>
      </c>
      <c r="E30" s="46">
        <v>0.5</v>
      </c>
      <c r="F30" s="46">
        <v>100000</v>
      </c>
      <c r="G30" s="46">
        <v>70000</v>
      </c>
      <c r="H30" s="46">
        <v>26800</v>
      </c>
    </row>
    <row r="31" spans="1:8" ht="15.75" thickBot="1" x14ac:dyDescent="0.3">
      <c r="B31" s="47" t="s">
        <v>103</v>
      </c>
      <c r="C31" s="47" t="s">
        <v>104</v>
      </c>
      <c r="D31" s="51">
        <v>160000</v>
      </c>
      <c r="E31" s="47">
        <v>0.68000000000000038</v>
      </c>
      <c r="F31" s="47">
        <v>160000</v>
      </c>
      <c r="G31" s="47">
        <v>380000</v>
      </c>
      <c r="H31" s="47">
        <v>41874.999999999993</v>
      </c>
    </row>
  </sheetData>
  <pageMargins left="0.25" right="0.25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C1D0-3992-49FD-BF3E-BD824ECC7AED}">
  <sheetPr>
    <pageSetUpPr fitToPage="1"/>
  </sheetPr>
  <dimension ref="A2:AR145"/>
  <sheetViews>
    <sheetView topLeftCell="A109" zoomScale="85" zoomScaleNormal="85" workbookViewId="0">
      <selection activeCell="D136" sqref="D136:H136"/>
    </sheetView>
  </sheetViews>
  <sheetFormatPr defaultRowHeight="15" x14ac:dyDescent="0.25"/>
  <cols>
    <col min="1" max="1" width="55.85546875" customWidth="1"/>
    <col min="2" max="2" width="21.42578125" bestFit="1" customWidth="1"/>
    <col min="3" max="5" width="24.42578125" bestFit="1" customWidth="1"/>
    <col min="6" max="6" width="19.85546875" customWidth="1"/>
    <col min="7" max="7" width="17.42578125" bestFit="1" customWidth="1"/>
    <col min="8" max="8" width="15.85546875" customWidth="1"/>
    <col min="11" max="11" width="49.5703125" bestFit="1" customWidth="1"/>
    <col min="35" max="35" width="10.85546875" customWidth="1"/>
  </cols>
  <sheetData>
    <row r="2" spans="1:8" ht="21" x14ac:dyDescent="0.35">
      <c r="A2" s="1" t="s">
        <v>132</v>
      </c>
      <c r="B2" s="60" t="s">
        <v>136</v>
      </c>
      <c r="C2" s="2" t="s">
        <v>134</v>
      </c>
      <c r="D2" s="2"/>
    </row>
    <row r="3" spans="1:8" ht="21" x14ac:dyDescent="0.35">
      <c r="A3" s="1" t="s">
        <v>133</v>
      </c>
      <c r="B3" s="1"/>
      <c r="C3" s="59" t="s">
        <v>135</v>
      </c>
      <c r="D3" s="59"/>
    </row>
    <row r="5" spans="1:8" ht="15.75" x14ac:dyDescent="0.25">
      <c r="A5" s="25" t="s">
        <v>1</v>
      </c>
      <c r="B5" s="6" t="s">
        <v>6</v>
      </c>
      <c r="C5" s="6" t="s">
        <v>9</v>
      </c>
      <c r="D5" s="6" t="s">
        <v>10</v>
      </c>
      <c r="E5" s="6" t="s">
        <v>26</v>
      </c>
    </row>
    <row r="6" spans="1:8" x14ac:dyDescent="0.25">
      <c r="A6" s="18" t="s">
        <v>2</v>
      </c>
      <c r="B6" s="18">
        <v>0.5</v>
      </c>
      <c r="C6" s="18">
        <v>0.5</v>
      </c>
      <c r="D6" s="18">
        <v>1.6</v>
      </c>
      <c r="E6" s="18">
        <v>170000</v>
      </c>
    </row>
    <row r="7" spans="1:8" x14ac:dyDescent="0.25">
      <c r="A7" s="18" t="s">
        <v>3</v>
      </c>
      <c r="B7" s="18">
        <v>0.5</v>
      </c>
      <c r="C7" s="18">
        <v>1.5</v>
      </c>
      <c r="D7" s="18">
        <v>0.75</v>
      </c>
      <c r="E7" s="18">
        <v>150000</v>
      </c>
    </row>
    <row r="8" spans="1:8" x14ac:dyDescent="0.25">
      <c r="A8" s="18" t="s">
        <v>4</v>
      </c>
      <c r="B8" s="18">
        <v>1</v>
      </c>
      <c r="C8" s="18">
        <v>0.75</v>
      </c>
      <c r="D8" s="18">
        <v>2</v>
      </c>
      <c r="E8" s="18">
        <v>100000</v>
      </c>
      <c r="F8" s="5"/>
      <c r="G8" s="5"/>
    </row>
    <row r="9" spans="1:8" x14ac:dyDescent="0.25">
      <c r="A9" s="18" t="s">
        <v>5</v>
      </c>
      <c r="B9" s="18">
        <v>0.5</v>
      </c>
      <c r="C9" s="18">
        <v>4</v>
      </c>
      <c r="D9" s="18">
        <v>5</v>
      </c>
      <c r="E9" s="18">
        <v>160000</v>
      </c>
      <c r="F9" s="4"/>
      <c r="G9" s="4"/>
    </row>
    <row r="10" spans="1:8" x14ac:dyDescent="0.25">
      <c r="A10" s="26" t="s">
        <v>25</v>
      </c>
      <c r="B10" s="18">
        <v>170000</v>
      </c>
      <c r="C10" s="18">
        <v>110000</v>
      </c>
      <c r="D10" s="18">
        <v>100000</v>
      </c>
      <c r="E10" s="18"/>
      <c r="F10" s="4"/>
      <c r="G10" s="4"/>
    </row>
    <row r="12" spans="1:8" x14ac:dyDescent="0.25">
      <c r="A12" s="14" t="s">
        <v>36</v>
      </c>
      <c r="B12" s="15"/>
      <c r="C12" s="15"/>
      <c r="D12" s="15"/>
      <c r="E12" s="16"/>
      <c r="F12" s="16"/>
      <c r="G12" s="16"/>
      <c r="H12" s="11"/>
    </row>
    <row r="13" spans="1:8" x14ac:dyDescent="0.25">
      <c r="A13" s="17" t="s">
        <v>1</v>
      </c>
      <c r="B13" s="18" t="s">
        <v>6</v>
      </c>
      <c r="C13" s="18" t="s">
        <v>9</v>
      </c>
      <c r="D13" s="18" t="s">
        <v>10</v>
      </c>
      <c r="E13" s="18" t="s">
        <v>33</v>
      </c>
      <c r="F13" s="18" t="s">
        <v>32</v>
      </c>
      <c r="G13" s="18" t="s">
        <v>31</v>
      </c>
      <c r="H13" s="19" t="s">
        <v>27</v>
      </c>
    </row>
    <row r="14" spans="1:8" ht="30" customHeight="1" x14ac:dyDescent="0.25">
      <c r="A14" s="17" t="s">
        <v>2</v>
      </c>
      <c r="B14" s="20">
        <v>70000</v>
      </c>
      <c r="C14" s="20">
        <v>0</v>
      </c>
      <c r="D14" s="20">
        <v>76000</v>
      </c>
      <c r="E14" s="20">
        <f>SUMPRODUCT(B6:D6,B14:D14)</f>
        <v>156600</v>
      </c>
      <c r="F14" s="20">
        <f>E6</f>
        <v>170000</v>
      </c>
      <c r="G14" s="20">
        <f>F14-E14</f>
        <v>13400</v>
      </c>
      <c r="H14" s="19" t="str">
        <f>IF(G14=0,"BINDING","Not binding")</f>
        <v>Not binding</v>
      </c>
    </row>
    <row r="15" spans="1:8" x14ac:dyDescent="0.25">
      <c r="A15" s="17" t="s">
        <v>3</v>
      </c>
      <c r="B15" s="20">
        <v>0</v>
      </c>
      <c r="C15" s="20">
        <v>100000</v>
      </c>
      <c r="D15" s="20">
        <v>0</v>
      </c>
      <c r="E15" s="20">
        <f>SUMPRODUCT(B7:D7,B15:D15)</f>
        <v>150000</v>
      </c>
      <c r="F15" s="20">
        <f>E7</f>
        <v>150000</v>
      </c>
      <c r="G15" s="20">
        <f>F15-E15</f>
        <v>0</v>
      </c>
      <c r="H15" s="19" t="str">
        <f>IF(G15=0,"BINDING","Not binding")</f>
        <v>BINDING</v>
      </c>
    </row>
    <row r="16" spans="1:8" x14ac:dyDescent="0.25">
      <c r="A16" s="17" t="s">
        <v>4</v>
      </c>
      <c r="B16" s="20">
        <v>100000</v>
      </c>
      <c r="C16" s="20">
        <v>0</v>
      </c>
      <c r="D16" s="20">
        <v>0</v>
      </c>
      <c r="E16" s="20">
        <f>SUMPRODUCT(B8:D8,B16:D16)</f>
        <v>100000</v>
      </c>
      <c r="F16" s="20">
        <f>E8</f>
        <v>100000</v>
      </c>
      <c r="G16" s="20">
        <f>F16-E16</f>
        <v>0</v>
      </c>
      <c r="H16" s="19" t="str">
        <f>IF(G16=0,"BINDING","Not binding")</f>
        <v>BINDING</v>
      </c>
    </row>
    <row r="17" spans="1:8" x14ac:dyDescent="0.25">
      <c r="A17" s="17" t="s">
        <v>5</v>
      </c>
      <c r="B17" s="21">
        <v>0</v>
      </c>
      <c r="C17" s="18">
        <v>10000</v>
      </c>
      <c r="D17" s="18">
        <v>24000</v>
      </c>
      <c r="E17" s="20">
        <f>SUMPRODUCT(B9:D9,B17:D17)</f>
        <v>160000</v>
      </c>
      <c r="F17" s="20">
        <f>E9</f>
        <v>160000</v>
      </c>
      <c r="G17" s="20">
        <f>F17-E17</f>
        <v>0</v>
      </c>
      <c r="H17" s="19" t="str">
        <f>IF(G17=0,"BINDING","Not binding")</f>
        <v>BINDING</v>
      </c>
    </row>
    <row r="18" spans="1:8" x14ac:dyDescent="0.25">
      <c r="A18" s="17" t="s">
        <v>28</v>
      </c>
      <c r="B18" s="21">
        <f>SUM(B14:B17)</f>
        <v>170000</v>
      </c>
      <c r="C18" s="18">
        <f>SUM(C14:C17)</f>
        <v>110000</v>
      </c>
      <c r="D18" s="18">
        <f>SUM(D14:D17)</f>
        <v>100000</v>
      </c>
      <c r="E18" s="18"/>
      <c r="F18" s="18"/>
      <c r="G18" s="18"/>
      <c r="H18" s="19"/>
    </row>
    <row r="19" spans="1:8" x14ac:dyDescent="0.25">
      <c r="A19" s="17" t="s">
        <v>29</v>
      </c>
      <c r="B19" s="21">
        <f>B10</f>
        <v>170000</v>
      </c>
      <c r="C19" s="18">
        <f>C10</f>
        <v>110000</v>
      </c>
      <c r="D19" s="18">
        <f>D10</f>
        <v>100000</v>
      </c>
      <c r="E19" s="18"/>
      <c r="F19" s="18"/>
      <c r="G19" s="18"/>
      <c r="H19" s="19"/>
    </row>
    <row r="20" spans="1:8" x14ac:dyDescent="0.25">
      <c r="A20" s="17" t="s">
        <v>34</v>
      </c>
      <c r="B20" s="18">
        <f>B19-B18</f>
        <v>0</v>
      </c>
      <c r="C20" s="18">
        <f>C19-C18</f>
        <v>0</v>
      </c>
      <c r="D20" s="18">
        <f>D19-D18</f>
        <v>0</v>
      </c>
      <c r="E20" s="18"/>
      <c r="F20" s="18"/>
      <c r="G20" s="18"/>
      <c r="H20" s="19"/>
    </row>
    <row r="21" spans="1:8" x14ac:dyDescent="0.25">
      <c r="A21" s="22" t="s">
        <v>27</v>
      </c>
      <c r="B21" s="23" t="str">
        <f>IF(B20=0,"BINDING","Not binding")</f>
        <v>BINDING</v>
      </c>
      <c r="C21" s="23" t="str">
        <f>IF(C20=0,"BINDING","Not binding")</f>
        <v>BINDING</v>
      </c>
      <c r="D21" s="23" t="str">
        <f>IF(D20=0,"BINDING","Not binding")</f>
        <v>BINDING</v>
      </c>
      <c r="E21" s="23"/>
      <c r="F21" s="23"/>
      <c r="G21" s="23"/>
      <c r="H21" s="24"/>
    </row>
    <row r="23" spans="1:8" x14ac:dyDescent="0.25">
      <c r="A23" s="10" t="s">
        <v>35</v>
      </c>
      <c r="B23" s="11"/>
    </row>
    <row r="24" spans="1:8" x14ac:dyDescent="0.25">
      <c r="A24" s="12" t="s">
        <v>30</v>
      </c>
      <c r="B24" s="13">
        <f>SUMPRODUCT(B6:D9,B14:D17)</f>
        <v>566600</v>
      </c>
    </row>
    <row r="26" spans="1:8" x14ac:dyDescent="0.25">
      <c r="A26" s="8" t="s">
        <v>37</v>
      </c>
    </row>
    <row r="27" spans="1:8" ht="60" x14ac:dyDescent="0.25">
      <c r="A27" s="9" t="s">
        <v>46</v>
      </c>
    </row>
    <row r="30" spans="1:8" ht="21" x14ac:dyDescent="0.35">
      <c r="A30" s="34" t="s">
        <v>0</v>
      </c>
      <c r="B30" s="35"/>
      <c r="C30" s="35"/>
      <c r="D30" s="36"/>
    </row>
    <row r="31" spans="1:8" x14ac:dyDescent="0.25">
      <c r="A31" s="17"/>
      <c r="B31" s="18"/>
      <c r="C31" s="18"/>
      <c r="D31" s="19"/>
    </row>
    <row r="32" spans="1:8" ht="21" x14ac:dyDescent="0.35">
      <c r="A32" s="28" t="s">
        <v>1</v>
      </c>
      <c r="B32" s="29" t="s">
        <v>6</v>
      </c>
      <c r="C32" s="29" t="s">
        <v>9</v>
      </c>
      <c r="D32" s="30" t="s">
        <v>10</v>
      </c>
    </row>
    <row r="33" spans="1:44" ht="21" x14ac:dyDescent="0.35">
      <c r="A33" s="28" t="s">
        <v>2</v>
      </c>
      <c r="B33" s="29" t="s">
        <v>7</v>
      </c>
      <c r="C33" s="29" t="s">
        <v>7</v>
      </c>
      <c r="D33" s="30" t="s">
        <v>14</v>
      </c>
    </row>
    <row r="34" spans="1:44" ht="21" x14ac:dyDescent="0.35">
      <c r="A34" s="28" t="s">
        <v>3</v>
      </c>
      <c r="B34" s="29" t="s">
        <v>7</v>
      </c>
      <c r="C34" s="29" t="s">
        <v>11</v>
      </c>
      <c r="D34" s="30" t="s">
        <v>15</v>
      </c>
      <c r="AK34" s="3"/>
      <c r="AL34" s="3"/>
      <c r="AM34" s="3"/>
      <c r="AN34" s="3"/>
      <c r="AO34" s="3"/>
      <c r="AP34" s="3"/>
      <c r="AQ34" s="3"/>
      <c r="AR34" s="3"/>
    </row>
    <row r="35" spans="1:44" ht="21" x14ac:dyDescent="0.35">
      <c r="A35" s="28" t="s">
        <v>4</v>
      </c>
      <c r="B35" s="29" t="s">
        <v>8</v>
      </c>
      <c r="C35" s="29" t="s">
        <v>12</v>
      </c>
      <c r="D35" s="30" t="s">
        <v>16</v>
      </c>
    </row>
    <row r="36" spans="1:44" ht="21" x14ac:dyDescent="0.35">
      <c r="A36" s="31" t="s">
        <v>5</v>
      </c>
      <c r="B36" s="32" t="s">
        <v>7</v>
      </c>
      <c r="C36" s="32" t="s">
        <v>13</v>
      </c>
      <c r="D36" s="33" t="s">
        <v>17</v>
      </c>
    </row>
    <row r="40" spans="1:44" ht="23.25" x14ac:dyDescent="0.35">
      <c r="A40" s="37" t="s">
        <v>38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1"/>
    </row>
    <row r="41" spans="1:44" ht="23.25" x14ac:dyDescent="0.35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9"/>
    </row>
    <row r="42" spans="1:44" ht="23.25" x14ac:dyDescent="0.35">
      <c r="A42" s="39" t="s">
        <v>39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9"/>
    </row>
    <row r="43" spans="1:44" ht="23.25" x14ac:dyDescent="0.35">
      <c r="A43" s="39" t="s">
        <v>40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9"/>
    </row>
    <row r="44" spans="1:44" ht="23.25" x14ac:dyDescent="0.35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9"/>
    </row>
    <row r="45" spans="1:44" ht="23.25" x14ac:dyDescent="0.35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9"/>
    </row>
    <row r="46" spans="1:44" ht="26.25" x14ac:dyDescent="0.45">
      <c r="A46" s="39" t="s">
        <v>41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9"/>
    </row>
    <row r="47" spans="1:44" ht="23.25" x14ac:dyDescent="0.35">
      <c r="A47" s="39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9"/>
    </row>
    <row r="48" spans="1:44" ht="23.25" x14ac:dyDescent="0.35">
      <c r="A48" s="39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9"/>
    </row>
    <row r="49" spans="1:30" ht="23.25" x14ac:dyDescent="0.35">
      <c r="A49" s="39" t="s">
        <v>18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9"/>
    </row>
    <row r="50" spans="1:30" ht="26.25" x14ac:dyDescent="0.45">
      <c r="A50" s="41" t="s">
        <v>42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3"/>
    </row>
    <row r="51" spans="1:30" ht="23.25" x14ac:dyDescent="0.35">
      <c r="A51" s="39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9"/>
    </row>
    <row r="52" spans="1:30" ht="23.25" x14ac:dyDescent="0.35">
      <c r="A52" s="39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9"/>
    </row>
    <row r="53" spans="1:30" ht="23.25" x14ac:dyDescent="0.35">
      <c r="A53" s="39" t="s">
        <v>19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9"/>
    </row>
    <row r="54" spans="1:30" ht="23.25" x14ac:dyDescent="0.35">
      <c r="A54" s="39" t="s">
        <v>43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9"/>
    </row>
    <row r="55" spans="1:30" ht="23.25" x14ac:dyDescent="0.35">
      <c r="A55" s="39" t="s">
        <v>44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9"/>
    </row>
    <row r="56" spans="1:30" ht="23.25" x14ac:dyDescent="0.35">
      <c r="A56" s="39" t="s">
        <v>45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9"/>
    </row>
    <row r="57" spans="1:30" ht="23.25" x14ac:dyDescent="0.35">
      <c r="A57" s="39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9"/>
    </row>
    <row r="58" spans="1:30" ht="23.25" x14ac:dyDescent="0.35">
      <c r="A58" s="39" t="s">
        <v>20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9"/>
    </row>
    <row r="59" spans="1:30" ht="23.25" x14ac:dyDescent="0.35">
      <c r="A59" s="39" t="s">
        <v>21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9"/>
    </row>
    <row r="60" spans="1:30" ht="23.25" x14ac:dyDescent="0.35">
      <c r="A60" s="39" t="s">
        <v>22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9"/>
    </row>
    <row r="61" spans="1:30" ht="23.25" x14ac:dyDescent="0.35">
      <c r="A61" s="39" t="s">
        <v>23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9"/>
    </row>
    <row r="62" spans="1:30" ht="23.25" x14ac:dyDescent="0.35">
      <c r="A62" s="44" t="s">
        <v>24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4"/>
    </row>
    <row r="65" spans="1:10" ht="23.25" x14ac:dyDescent="0.35">
      <c r="A65" s="54" t="s">
        <v>105</v>
      </c>
      <c r="B65" s="55"/>
      <c r="C65" s="55"/>
      <c r="D65" s="55"/>
      <c r="E65" s="55"/>
      <c r="F65" s="16"/>
      <c r="G65" s="16"/>
      <c r="H65" s="16"/>
      <c r="I65" s="16"/>
      <c r="J65" s="11"/>
    </row>
    <row r="66" spans="1:10" ht="20.25" x14ac:dyDescent="0.35">
      <c r="A66" s="56" t="s">
        <v>106</v>
      </c>
      <c r="B66" s="57"/>
      <c r="C66" s="57"/>
      <c r="D66" s="18"/>
      <c r="E66" s="18"/>
      <c r="F66" s="18"/>
      <c r="G66" s="18"/>
      <c r="H66" s="18"/>
      <c r="I66" s="18"/>
      <c r="J66" s="19"/>
    </row>
    <row r="67" spans="1:10" x14ac:dyDescent="0.25">
      <c r="A67" s="17"/>
      <c r="B67" s="18"/>
      <c r="C67" s="18"/>
      <c r="D67" s="18"/>
      <c r="E67" s="18"/>
      <c r="F67" s="18"/>
      <c r="G67" s="18"/>
      <c r="H67" s="18"/>
      <c r="I67" s="18"/>
      <c r="J67" s="19"/>
    </row>
    <row r="68" spans="1:10" ht="108.75" customHeight="1" x14ac:dyDescent="0.25">
      <c r="A68" s="52" t="s">
        <v>107</v>
      </c>
      <c r="B68" s="53"/>
      <c r="C68" s="53"/>
      <c r="D68" s="18"/>
      <c r="E68" s="18"/>
      <c r="F68" s="18"/>
      <c r="G68" s="18"/>
      <c r="H68" s="18"/>
      <c r="I68" s="18"/>
      <c r="J68" s="19"/>
    </row>
    <row r="69" spans="1:10" x14ac:dyDescent="0.25">
      <c r="A69" s="17"/>
      <c r="B69" s="18"/>
      <c r="C69" s="18"/>
      <c r="D69" s="18"/>
      <c r="E69" s="18"/>
      <c r="F69" s="18"/>
      <c r="G69" s="18"/>
      <c r="H69" s="18"/>
      <c r="I69" s="18"/>
      <c r="J69" s="19"/>
    </row>
    <row r="70" spans="1:10" x14ac:dyDescent="0.25">
      <c r="A70" s="17"/>
      <c r="B70" s="18"/>
      <c r="C70" s="18"/>
      <c r="D70" s="18"/>
      <c r="E70" s="18"/>
      <c r="F70" s="18"/>
      <c r="G70" s="18"/>
      <c r="H70" s="18"/>
      <c r="I70" s="18"/>
      <c r="J70" s="19"/>
    </row>
    <row r="71" spans="1:10" x14ac:dyDescent="0.25">
      <c r="A71" s="17"/>
      <c r="B71" s="18"/>
      <c r="C71" s="18"/>
      <c r="D71" s="18"/>
      <c r="E71" s="18"/>
      <c r="F71" s="18"/>
      <c r="G71" s="18"/>
      <c r="H71" s="18"/>
      <c r="I71" s="18"/>
      <c r="J71" s="19"/>
    </row>
    <row r="72" spans="1:10" x14ac:dyDescent="0.25">
      <c r="A72" s="17"/>
      <c r="B72" s="18"/>
      <c r="C72" s="18"/>
      <c r="D72" s="18"/>
      <c r="E72" s="18"/>
      <c r="F72" s="18"/>
      <c r="G72" s="18"/>
      <c r="H72" s="18"/>
      <c r="I72" s="18"/>
      <c r="J72" s="19"/>
    </row>
    <row r="73" spans="1:10" x14ac:dyDescent="0.25">
      <c r="A73" s="17"/>
      <c r="B73" s="18"/>
      <c r="C73" s="18"/>
      <c r="D73" s="18"/>
      <c r="E73" s="18"/>
      <c r="F73" s="18"/>
      <c r="G73" s="18"/>
      <c r="H73" s="18"/>
      <c r="I73" s="18"/>
      <c r="J73" s="19"/>
    </row>
    <row r="74" spans="1:10" x14ac:dyDescent="0.25">
      <c r="A74" s="17"/>
      <c r="B74" s="18"/>
      <c r="C74" s="18"/>
      <c r="D74" s="18"/>
      <c r="E74" s="18"/>
      <c r="F74" s="18"/>
      <c r="G74" s="18"/>
      <c r="H74" s="18"/>
      <c r="I74" s="18"/>
      <c r="J74" s="19"/>
    </row>
    <row r="75" spans="1:10" x14ac:dyDescent="0.25">
      <c r="A75" s="17"/>
      <c r="B75" s="18"/>
      <c r="C75" s="18"/>
      <c r="D75" s="18"/>
      <c r="E75" s="18"/>
      <c r="F75" s="18"/>
      <c r="G75" s="18"/>
      <c r="H75" s="18"/>
      <c r="I75" s="18"/>
      <c r="J75" s="19"/>
    </row>
    <row r="76" spans="1:10" x14ac:dyDescent="0.25">
      <c r="A76" s="17"/>
      <c r="B76" s="18"/>
      <c r="C76" s="18"/>
      <c r="D76" s="18"/>
      <c r="E76" s="18"/>
      <c r="F76" s="18"/>
      <c r="G76" s="18"/>
      <c r="H76" s="18"/>
      <c r="I76" s="18"/>
      <c r="J76" s="19"/>
    </row>
    <row r="77" spans="1:10" x14ac:dyDescent="0.25">
      <c r="A77" s="17"/>
      <c r="B77" s="18"/>
      <c r="C77" s="18"/>
      <c r="D77" s="18"/>
      <c r="E77" s="18"/>
      <c r="F77" s="18"/>
      <c r="G77" s="18"/>
      <c r="H77" s="18"/>
      <c r="I77" s="18"/>
      <c r="J77" s="19"/>
    </row>
    <row r="78" spans="1:10" x14ac:dyDescent="0.25">
      <c r="A78" s="17"/>
      <c r="B78" s="18"/>
      <c r="C78" s="18"/>
      <c r="D78" s="18"/>
      <c r="E78" s="18"/>
      <c r="F78" s="18"/>
      <c r="G78" s="18"/>
      <c r="H78" s="18"/>
      <c r="I78" s="18"/>
      <c r="J78" s="19"/>
    </row>
    <row r="79" spans="1:10" x14ac:dyDescent="0.25">
      <c r="A79" s="17"/>
      <c r="B79" s="18"/>
      <c r="C79" s="18"/>
      <c r="D79" s="18"/>
      <c r="E79" s="18"/>
      <c r="F79" s="18"/>
      <c r="G79" s="18"/>
      <c r="H79" s="18"/>
      <c r="I79" s="18"/>
      <c r="J79" s="19"/>
    </row>
    <row r="80" spans="1:10" x14ac:dyDescent="0.25">
      <c r="A80" s="17"/>
      <c r="B80" s="18"/>
      <c r="C80" s="18"/>
      <c r="D80" s="18"/>
      <c r="E80" s="18"/>
      <c r="F80" s="18"/>
      <c r="G80" s="18"/>
      <c r="H80" s="18"/>
      <c r="I80" s="18"/>
      <c r="J80" s="19"/>
    </row>
    <row r="81" spans="1:10" x14ac:dyDescent="0.25">
      <c r="A81" s="17"/>
      <c r="B81" s="18"/>
      <c r="C81" s="18"/>
      <c r="D81" s="18"/>
      <c r="E81" s="18"/>
      <c r="F81" s="18"/>
      <c r="G81" s="18"/>
      <c r="H81" s="18"/>
      <c r="I81" s="18"/>
      <c r="J81" s="19"/>
    </row>
    <row r="82" spans="1:10" x14ac:dyDescent="0.25">
      <c r="A82" s="17"/>
      <c r="B82" s="18"/>
      <c r="C82" s="18"/>
      <c r="D82" s="18"/>
      <c r="E82" s="18"/>
      <c r="F82" s="18"/>
      <c r="G82" s="18"/>
      <c r="H82" s="18"/>
      <c r="I82" s="18"/>
      <c r="J82" s="19"/>
    </row>
    <row r="83" spans="1:10" x14ac:dyDescent="0.25">
      <c r="A83" s="17"/>
      <c r="B83" s="18"/>
      <c r="C83" s="18"/>
      <c r="D83" s="18"/>
      <c r="E83" s="18"/>
      <c r="F83" s="18"/>
      <c r="G83" s="18"/>
      <c r="H83" s="18"/>
      <c r="I83" s="18"/>
      <c r="J83" s="19"/>
    </row>
    <row r="84" spans="1:10" x14ac:dyDescent="0.25">
      <c r="A84" s="17"/>
      <c r="B84" s="18"/>
      <c r="C84" s="18"/>
      <c r="D84" s="18"/>
      <c r="E84" s="18"/>
      <c r="F84" s="18"/>
      <c r="G84" s="18"/>
      <c r="H84" s="18"/>
      <c r="I84" s="18"/>
      <c r="J84" s="19"/>
    </row>
    <row r="85" spans="1:10" x14ac:dyDescent="0.25">
      <c r="A85" s="17"/>
      <c r="B85" s="18"/>
      <c r="C85" s="18"/>
      <c r="D85" s="18"/>
      <c r="E85" s="18"/>
      <c r="F85" s="18"/>
      <c r="G85" s="18"/>
      <c r="H85" s="18"/>
      <c r="I85" s="18"/>
      <c r="J85" s="19"/>
    </row>
    <row r="86" spans="1:10" x14ac:dyDescent="0.25">
      <c r="A86" s="17"/>
      <c r="B86" s="18"/>
      <c r="C86" s="18"/>
      <c r="D86" s="18"/>
      <c r="E86" s="18"/>
      <c r="F86" s="18"/>
      <c r="G86" s="18"/>
      <c r="H86" s="18"/>
      <c r="I86" s="18"/>
      <c r="J86" s="19"/>
    </row>
    <row r="87" spans="1:10" x14ac:dyDescent="0.25">
      <c r="A87" s="17"/>
      <c r="B87" s="18"/>
      <c r="C87" s="18"/>
      <c r="D87" s="18"/>
      <c r="E87" s="18"/>
      <c r="F87" s="18"/>
      <c r="G87" s="18"/>
      <c r="H87" s="18"/>
      <c r="I87" s="18"/>
      <c r="J87" s="19"/>
    </row>
    <row r="88" spans="1:10" x14ac:dyDescent="0.25">
      <c r="A88" s="17"/>
      <c r="B88" s="18"/>
      <c r="C88" s="18"/>
      <c r="D88" s="18"/>
      <c r="E88" s="18"/>
      <c r="F88" s="18"/>
      <c r="G88" s="18"/>
      <c r="H88" s="18"/>
      <c r="I88" s="18"/>
      <c r="J88" s="19"/>
    </row>
    <row r="89" spans="1:10" x14ac:dyDescent="0.25">
      <c r="A89" s="17"/>
      <c r="B89" s="18"/>
      <c r="C89" s="18"/>
      <c r="D89" s="18"/>
      <c r="E89" s="18"/>
      <c r="F89" s="18"/>
      <c r="G89" s="18"/>
      <c r="H89" s="18"/>
      <c r="I89" s="18"/>
      <c r="J89" s="19"/>
    </row>
    <row r="90" spans="1:10" x14ac:dyDescent="0.25">
      <c r="A90" s="17"/>
      <c r="B90" s="18"/>
      <c r="C90" s="18"/>
      <c r="D90" s="18"/>
      <c r="E90" s="18"/>
      <c r="F90" s="18"/>
      <c r="G90" s="18"/>
      <c r="H90" s="18"/>
      <c r="I90" s="18"/>
      <c r="J90" s="19"/>
    </row>
    <row r="91" spans="1:10" x14ac:dyDescent="0.25">
      <c r="A91" s="17"/>
      <c r="B91" s="18"/>
      <c r="C91" s="18"/>
      <c r="D91" s="18"/>
      <c r="E91" s="18"/>
      <c r="F91" s="18"/>
      <c r="G91" s="18"/>
      <c r="H91" s="18"/>
      <c r="I91" s="18"/>
      <c r="J91" s="19"/>
    </row>
    <row r="92" spans="1:10" x14ac:dyDescent="0.25">
      <c r="A92" s="17"/>
      <c r="B92" s="18"/>
      <c r="C92" s="18"/>
      <c r="D92" s="18"/>
      <c r="E92" s="18"/>
      <c r="F92" s="18"/>
      <c r="G92" s="18"/>
      <c r="H92" s="18"/>
      <c r="I92" s="18"/>
      <c r="J92" s="19"/>
    </row>
    <row r="93" spans="1:10" x14ac:dyDescent="0.25">
      <c r="A93" s="17"/>
      <c r="B93" s="18"/>
      <c r="C93" s="18"/>
      <c r="D93" s="18"/>
      <c r="E93" s="18"/>
      <c r="F93" s="18"/>
      <c r="G93" s="18"/>
      <c r="H93" s="18"/>
      <c r="I93" s="18"/>
      <c r="J93" s="19"/>
    </row>
    <row r="94" spans="1:10" x14ac:dyDescent="0.25">
      <c r="A94" s="17"/>
      <c r="B94" s="18"/>
      <c r="C94" s="18"/>
      <c r="D94" s="18"/>
      <c r="E94" s="18"/>
      <c r="F94" s="18"/>
      <c r="G94" s="18"/>
      <c r="H94" s="18"/>
      <c r="I94" s="18"/>
      <c r="J94" s="19"/>
    </row>
    <row r="95" spans="1:10" x14ac:dyDescent="0.25">
      <c r="A95" s="17"/>
      <c r="B95" s="18"/>
      <c r="C95" s="18"/>
      <c r="D95" s="18"/>
      <c r="E95" s="18"/>
      <c r="F95" s="18"/>
      <c r="G95" s="18"/>
      <c r="H95" s="18"/>
      <c r="I95" s="18"/>
      <c r="J95" s="19"/>
    </row>
    <row r="96" spans="1:10" x14ac:dyDescent="0.25">
      <c r="A96" s="17"/>
      <c r="B96" s="18"/>
      <c r="C96" s="18"/>
      <c r="D96" s="18"/>
      <c r="E96" s="18"/>
      <c r="F96" s="18"/>
      <c r="G96" s="18"/>
      <c r="H96" s="18"/>
      <c r="I96" s="18"/>
      <c r="J96" s="19"/>
    </row>
    <row r="97" spans="1:10" x14ac:dyDescent="0.25">
      <c r="A97" s="17"/>
      <c r="B97" s="18"/>
      <c r="C97" s="18"/>
      <c r="D97" s="18"/>
      <c r="E97" s="18"/>
      <c r="F97" s="18"/>
      <c r="G97" s="18"/>
      <c r="H97" s="18"/>
      <c r="I97" s="18"/>
      <c r="J97" s="19"/>
    </row>
    <row r="98" spans="1:10" x14ac:dyDescent="0.25">
      <c r="A98" s="17"/>
      <c r="B98" s="18"/>
      <c r="C98" s="18"/>
      <c r="D98" s="18"/>
      <c r="E98" s="18"/>
      <c r="F98" s="18"/>
      <c r="G98" s="18"/>
      <c r="H98" s="18"/>
      <c r="I98" s="18"/>
      <c r="J98" s="19"/>
    </row>
    <row r="99" spans="1:10" x14ac:dyDescent="0.25">
      <c r="A99" s="22"/>
      <c r="B99" s="23"/>
      <c r="C99" s="23"/>
      <c r="D99" s="23"/>
      <c r="E99" s="23"/>
      <c r="F99" s="23"/>
      <c r="G99" s="23"/>
      <c r="H99" s="23"/>
      <c r="I99" s="23"/>
      <c r="J99" s="24"/>
    </row>
    <row r="102" spans="1:10" ht="23.25" x14ac:dyDescent="0.35">
      <c r="A102" s="54" t="s">
        <v>108</v>
      </c>
      <c r="B102" s="55"/>
      <c r="C102" s="55"/>
      <c r="D102" s="55"/>
      <c r="E102" s="55"/>
      <c r="F102" s="16"/>
      <c r="G102" s="16"/>
      <c r="H102" s="16"/>
      <c r="I102" s="16"/>
      <c r="J102" s="11"/>
    </row>
    <row r="103" spans="1:10" ht="20.25" x14ac:dyDescent="0.35">
      <c r="A103" s="56" t="s">
        <v>109</v>
      </c>
      <c r="B103" s="57"/>
      <c r="C103" s="57"/>
      <c r="D103" s="18"/>
      <c r="E103" s="18"/>
      <c r="F103" s="18"/>
      <c r="G103" s="18"/>
      <c r="H103" s="18"/>
      <c r="I103" s="18"/>
      <c r="J103" s="19"/>
    </row>
    <row r="104" spans="1:10" x14ac:dyDescent="0.25">
      <c r="A104" s="17"/>
      <c r="B104" s="18"/>
      <c r="C104" s="18"/>
      <c r="D104" s="18"/>
      <c r="E104" s="18"/>
      <c r="F104" s="18"/>
      <c r="G104" s="18"/>
      <c r="H104" s="18"/>
      <c r="I104" s="18"/>
      <c r="J104" s="19"/>
    </row>
    <row r="105" spans="1:10" ht="81.75" customHeight="1" x14ac:dyDescent="0.25">
      <c r="A105" s="52" t="s">
        <v>110</v>
      </c>
      <c r="B105" s="53"/>
      <c r="C105" s="53"/>
      <c r="D105" s="18"/>
      <c r="E105" s="18"/>
      <c r="F105" s="18"/>
      <c r="G105" s="18"/>
      <c r="H105" s="18"/>
      <c r="I105" s="18"/>
      <c r="J105" s="19"/>
    </row>
    <row r="106" spans="1:10" x14ac:dyDescent="0.25">
      <c r="A106" s="17"/>
      <c r="B106" s="18"/>
      <c r="C106" s="18"/>
      <c r="D106" s="18"/>
      <c r="E106" s="18"/>
      <c r="F106" s="18"/>
      <c r="G106" s="18"/>
      <c r="H106" s="18"/>
      <c r="I106" s="18"/>
      <c r="J106" s="19"/>
    </row>
    <row r="107" spans="1:10" x14ac:dyDescent="0.25">
      <c r="A107" s="17"/>
      <c r="B107" s="18"/>
      <c r="C107" s="18"/>
      <c r="D107" s="18"/>
      <c r="E107" s="18"/>
      <c r="F107" s="18"/>
      <c r="G107" s="18"/>
      <c r="H107" s="18"/>
      <c r="I107" s="18"/>
      <c r="J107" s="19"/>
    </row>
    <row r="108" spans="1:10" x14ac:dyDescent="0.25">
      <c r="A108" s="17"/>
      <c r="B108" s="18"/>
      <c r="C108" s="18"/>
      <c r="D108" s="18"/>
      <c r="E108" s="18"/>
      <c r="F108" s="18"/>
      <c r="G108" s="18"/>
      <c r="H108" s="18"/>
      <c r="I108" s="18"/>
      <c r="J108" s="19"/>
    </row>
    <row r="109" spans="1:10" x14ac:dyDescent="0.25">
      <c r="A109" s="17"/>
      <c r="B109" s="18"/>
      <c r="C109" s="18"/>
      <c r="D109" s="18"/>
      <c r="E109" s="18"/>
      <c r="F109" s="18"/>
      <c r="G109" s="18"/>
      <c r="H109" s="18"/>
      <c r="I109" s="18"/>
      <c r="J109" s="19"/>
    </row>
    <row r="110" spans="1:10" x14ac:dyDescent="0.25">
      <c r="A110" s="17"/>
      <c r="B110" s="18"/>
      <c r="C110" s="18"/>
      <c r="D110" s="18"/>
      <c r="E110" s="18"/>
      <c r="F110" s="18"/>
      <c r="G110" s="18"/>
      <c r="H110" s="18"/>
      <c r="I110" s="18"/>
      <c r="J110" s="19"/>
    </row>
    <row r="111" spans="1:10" x14ac:dyDescent="0.25">
      <c r="A111" s="17"/>
      <c r="B111" s="18"/>
      <c r="C111" s="18"/>
      <c r="D111" s="18"/>
      <c r="E111" s="18"/>
      <c r="F111" s="18"/>
      <c r="G111" s="18"/>
      <c r="H111" s="18"/>
      <c r="I111" s="18"/>
      <c r="J111" s="19"/>
    </row>
    <row r="112" spans="1:10" x14ac:dyDescent="0.25">
      <c r="A112" s="17"/>
      <c r="B112" s="18"/>
      <c r="C112" s="18"/>
      <c r="D112" s="18"/>
      <c r="E112" s="18"/>
      <c r="F112" s="18"/>
      <c r="G112" s="18"/>
      <c r="H112" s="18"/>
      <c r="I112" s="18"/>
      <c r="J112" s="19"/>
    </row>
    <row r="113" spans="1:10" x14ac:dyDescent="0.25">
      <c r="A113" s="17"/>
      <c r="B113" s="18"/>
      <c r="C113" s="18"/>
      <c r="D113" s="18"/>
      <c r="E113" s="18"/>
      <c r="F113" s="18"/>
      <c r="G113" s="18"/>
      <c r="H113" s="18"/>
      <c r="I113" s="18"/>
      <c r="J113" s="19"/>
    </row>
    <row r="114" spans="1:10" x14ac:dyDescent="0.25">
      <c r="A114" s="17"/>
      <c r="B114" s="18"/>
      <c r="C114" s="18"/>
      <c r="D114" s="18"/>
      <c r="E114" s="18"/>
      <c r="F114" s="18"/>
      <c r="G114" s="18"/>
      <c r="H114" s="18"/>
      <c r="I114" s="18"/>
      <c r="J114" s="19"/>
    </row>
    <row r="115" spans="1:10" x14ac:dyDescent="0.25">
      <c r="A115" s="17"/>
      <c r="B115" s="18"/>
      <c r="C115" s="18"/>
      <c r="D115" s="18"/>
      <c r="E115" s="18"/>
      <c r="F115" s="18"/>
      <c r="G115" s="18"/>
      <c r="H115" s="18"/>
      <c r="I115" s="18"/>
      <c r="J115" s="19"/>
    </row>
    <row r="116" spans="1:10" x14ac:dyDescent="0.25">
      <c r="A116" s="17"/>
      <c r="B116" s="18"/>
      <c r="C116" s="18"/>
      <c r="D116" s="18"/>
      <c r="E116" s="18"/>
      <c r="F116" s="18"/>
      <c r="G116" s="18"/>
      <c r="H116" s="18"/>
      <c r="I116" s="18"/>
      <c r="J116" s="19"/>
    </row>
    <row r="117" spans="1:10" x14ac:dyDescent="0.25">
      <c r="A117" s="17"/>
      <c r="B117" s="18"/>
      <c r="C117" s="18"/>
      <c r="D117" s="18"/>
      <c r="E117" s="18"/>
      <c r="F117" s="18"/>
      <c r="G117" s="18"/>
      <c r="H117" s="18"/>
      <c r="I117" s="18"/>
      <c r="J117" s="19"/>
    </row>
    <row r="118" spans="1:10" x14ac:dyDescent="0.25">
      <c r="A118" s="17"/>
      <c r="B118" s="18"/>
      <c r="C118" s="18"/>
      <c r="D118" s="18"/>
      <c r="E118" s="18"/>
      <c r="F118" s="18"/>
      <c r="G118" s="18"/>
      <c r="H118" s="18"/>
      <c r="I118" s="18"/>
      <c r="J118" s="19"/>
    </row>
    <row r="119" spans="1:10" x14ac:dyDescent="0.25">
      <c r="A119" s="17"/>
      <c r="B119" s="18"/>
      <c r="C119" s="18"/>
      <c r="D119" s="18"/>
      <c r="E119" s="18"/>
      <c r="F119" s="18"/>
      <c r="G119" s="18"/>
      <c r="H119" s="18"/>
      <c r="I119" s="18"/>
      <c r="J119" s="19"/>
    </row>
    <row r="120" spans="1:10" x14ac:dyDescent="0.25">
      <c r="A120" s="17"/>
      <c r="B120" s="18"/>
      <c r="C120" s="18"/>
      <c r="D120" s="18"/>
      <c r="E120" s="18"/>
      <c r="F120" s="18"/>
      <c r="G120" s="18"/>
      <c r="H120" s="18"/>
      <c r="I120" s="18"/>
      <c r="J120" s="19"/>
    </row>
    <row r="121" spans="1:10" x14ac:dyDescent="0.25">
      <c r="A121" s="17"/>
      <c r="B121" s="18"/>
      <c r="C121" s="18"/>
      <c r="D121" s="18"/>
      <c r="E121" s="18"/>
      <c r="F121" s="18"/>
      <c r="G121" s="18"/>
      <c r="H121" s="18"/>
      <c r="I121" s="18"/>
      <c r="J121" s="19"/>
    </row>
    <row r="122" spans="1:10" x14ac:dyDescent="0.25">
      <c r="A122" s="17"/>
      <c r="B122" s="18"/>
      <c r="C122" s="18"/>
      <c r="D122" s="18"/>
      <c r="E122" s="18"/>
      <c r="F122" s="18"/>
      <c r="G122" s="18"/>
      <c r="H122" s="18"/>
      <c r="I122" s="18"/>
      <c r="J122" s="19"/>
    </row>
    <row r="123" spans="1:10" x14ac:dyDescent="0.25">
      <c r="A123" s="17"/>
      <c r="B123" s="18"/>
      <c r="C123" s="18"/>
      <c r="D123" s="18"/>
      <c r="E123" s="18"/>
      <c r="F123" s="18"/>
      <c r="G123" s="18"/>
      <c r="H123" s="18"/>
      <c r="I123" s="18"/>
      <c r="J123" s="19"/>
    </row>
    <row r="124" spans="1:10" x14ac:dyDescent="0.25">
      <c r="A124" s="17"/>
      <c r="B124" s="18"/>
      <c r="C124" s="18"/>
      <c r="D124" s="18"/>
      <c r="E124" s="18"/>
      <c r="F124" s="18"/>
      <c r="G124" s="18"/>
      <c r="H124" s="18"/>
      <c r="I124" s="18"/>
      <c r="J124" s="19"/>
    </row>
    <row r="125" spans="1:10" x14ac:dyDescent="0.25">
      <c r="A125" s="17"/>
      <c r="B125" s="18"/>
      <c r="C125" s="18"/>
      <c r="D125" s="18"/>
      <c r="E125" s="18"/>
      <c r="F125" s="18"/>
      <c r="G125" s="18"/>
      <c r="H125" s="18"/>
      <c r="I125" s="18"/>
      <c r="J125" s="19"/>
    </row>
    <row r="126" spans="1:10" x14ac:dyDescent="0.25">
      <c r="A126" s="17"/>
      <c r="B126" s="18"/>
      <c r="C126" s="18"/>
      <c r="D126" s="18"/>
      <c r="E126" s="18"/>
      <c r="F126" s="18"/>
      <c r="G126" s="18"/>
      <c r="H126" s="18"/>
      <c r="I126" s="18"/>
      <c r="J126" s="19"/>
    </row>
    <row r="127" spans="1:10" x14ac:dyDescent="0.25">
      <c r="A127" s="17"/>
      <c r="B127" s="18"/>
      <c r="C127" s="18"/>
      <c r="D127" s="18"/>
      <c r="E127" s="18"/>
      <c r="F127" s="18"/>
      <c r="G127" s="18"/>
      <c r="H127" s="18"/>
      <c r="I127" s="18"/>
      <c r="J127" s="19"/>
    </row>
    <row r="128" spans="1:10" x14ac:dyDescent="0.25">
      <c r="A128" s="17"/>
      <c r="B128" s="18"/>
      <c r="C128" s="18"/>
      <c r="D128" s="18"/>
      <c r="E128" s="18"/>
      <c r="F128" s="18"/>
      <c r="G128" s="18"/>
      <c r="H128" s="18"/>
      <c r="I128" s="18"/>
      <c r="J128" s="19"/>
    </row>
    <row r="129" spans="1:10" x14ac:dyDescent="0.25">
      <c r="A129" s="17"/>
      <c r="B129" s="18"/>
      <c r="C129" s="18"/>
      <c r="D129" s="18"/>
      <c r="E129" s="18"/>
      <c r="F129" s="18"/>
      <c r="G129" s="18"/>
      <c r="H129" s="18"/>
      <c r="I129" s="18"/>
      <c r="J129" s="19"/>
    </row>
    <row r="130" spans="1:10" x14ac:dyDescent="0.25">
      <c r="A130" s="17"/>
      <c r="B130" s="18"/>
      <c r="C130" s="18"/>
      <c r="D130" s="18"/>
      <c r="E130" s="18"/>
      <c r="F130" s="18"/>
      <c r="G130" s="18"/>
      <c r="H130" s="18"/>
      <c r="I130" s="18"/>
      <c r="J130" s="19"/>
    </row>
    <row r="131" spans="1:10" x14ac:dyDescent="0.25">
      <c r="A131" s="17"/>
      <c r="B131" s="18"/>
      <c r="C131" s="18"/>
      <c r="D131" s="18"/>
      <c r="E131" s="18"/>
      <c r="F131" s="18"/>
      <c r="G131" s="18"/>
      <c r="H131" s="18"/>
      <c r="I131" s="18"/>
      <c r="J131" s="19"/>
    </row>
    <row r="132" spans="1:10" x14ac:dyDescent="0.25">
      <c r="A132" s="17"/>
      <c r="B132" s="18"/>
      <c r="C132" s="18"/>
      <c r="D132" s="18"/>
      <c r="E132" s="18"/>
      <c r="F132" s="18"/>
      <c r="G132" s="18"/>
      <c r="H132" s="18"/>
      <c r="I132" s="18"/>
      <c r="J132" s="19"/>
    </row>
    <row r="133" spans="1:10" x14ac:dyDescent="0.25">
      <c r="A133" s="17"/>
      <c r="B133" s="18"/>
      <c r="C133" s="18"/>
      <c r="D133" s="18"/>
      <c r="E133" s="18"/>
      <c r="F133" s="18"/>
      <c r="G133" s="18"/>
      <c r="H133" s="18"/>
      <c r="I133" s="18"/>
      <c r="J133" s="19"/>
    </row>
    <row r="134" spans="1:10" x14ac:dyDescent="0.25">
      <c r="A134" s="22"/>
      <c r="B134" s="23"/>
      <c r="C134" s="23"/>
      <c r="D134" s="23"/>
      <c r="E134" s="23"/>
      <c r="F134" s="23"/>
      <c r="G134" s="23"/>
      <c r="H134" s="23"/>
      <c r="I134" s="23"/>
      <c r="J134" s="24"/>
    </row>
    <row r="136" spans="1:10" ht="23.25" x14ac:dyDescent="0.35">
      <c r="A136" s="27"/>
      <c r="B136" s="16"/>
      <c r="C136" s="16"/>
      <c r="D136" s="55" t="s">
        <v>131</v>
      </c>
      <c r="E136" s="55"/>
      <c r="F136" s="55"/>
      <c r="G136" s="55"/>
      <c r="H136" s="55"/>
      <c r="I136" s="16"/>
      <c r="J136" s="11"/>
    </row>
    <row r="137" spans="1:10" x14ac:dyDescent="0.25">
      <c r="A137" s="17"/>
      <c r="B137" s="18"/>
      <c r="C137" s="18"/>
      <c r="D137" s="18"/>
      <c r="E137" s="18"/>
      <c r="F137" s="18"/>
      <c r="G137" s="18"/>
      <c r="H137" s="18"/>
      <c r="I137" s="18"/>
      <c r="J137" s="19"/>
    </row>
    <row r="138" spans="1:10" x14ac:dyDescent="0.25">
      <c r="A138" s="17"/>
      <c r="B138" s="18"/>
      <c r="C138" s="18"/>
      <c r="D138" s="18"/>
      <c r="E138" s="18"/>
      <c r="F138" s="18"/>
      <c r="G138" s="18"/>
      <c r="H138" s="18"/>
      <c r="I138" s="18"/>
      <c r="J138" s="19"/>
    </row>
    <row r="139" spans="1:10" x14ac:dyDescent="0.25">
      <c r="A139" s="58" t="s">
        <v>111</v>
      </c>
      <c r="B139" s="26" t="s">
        <v>112</v>
      </c>
      <c r="C139" s="26" t="s">
        <v>113</v>
      </c>
      <c r="D139" s="26" t="s">
        <v>114</v>
      </c>
      <c r="E139" s="26" t="s">
        <v>115</v>
      </c>
      <c r="F139" s="26" t="s">
        <v>116</v>
      </c>
      <c r="G139" s="26" t="s">
        <v>137</v>
      </c>
      <c r="H139" s="26" t="s">
        <v>117</v>
      </c>
      <c r="I139" s="18"/>
      <c r="J139" s="19"/>
    </row>
    <row r="140" spans="1:10" ht="75" x14ac:dyDescent="0.25">
      <c r="A140" s="58" t="s">
        <v>118</v>
      </c>
      <c r="B140" s="26" t="s">
        <v>119</v>
      </c>
      <c r="C140" s="26">
        <v>0</v>
      </c>
      <c r="D140" s="26" t="s">
        <v>120</v>
      </c>
      <c r="E140" s="26">
        <v>566600</v>
      </c>
      <c r="F140" s="26">
        <v>566600</v>
      </c>
      <c r="G140" s="26">
        <v>0</v>
      </c>
      <c r="H140" s="61" t="s">
        <v>129</v>
      </c>
      <c r="I140" s="18"/>
      <c r="J140" s="19"/>
    </row>
    <row r="141" spans="1:10" ht="45" x14ac:dyDescent="0.25">
      <c r="A141" s="58" t="s">
        <v>121</v>
      </c>
      <c r="B141" s="26" t="s">
        <v>122</v>
      </c>
      <c r="C141" s="26">
        <v>0.1467</v>
      </c>
      <c r="D141" s="26" t="s">
        <v>120</v>
      </c>
      <c r="E141" s="26">
        <v>568800</v>
      </c>
      <c r="F141" s="26">
        <v>568800</v>
      </c>
      <c r="G141" s="26">
        <v>2200</v>
      </c>
      <c r="H141" s="61" t="s">
        <v>127</v>
      </c>
      <c r="I141" s="18"/>
      <c r="J141" s="19"/>
    </row>
    <row r="142" spans="1:10" x14ac:dyDescent="0.25">
      <c r="A142" s="58" t="s">
        <v>123</v>
      </c>
      <c r="B142" s="26" t="s">
        <v>124</v>
      </c>
      <c r="C142" s="26">
        <v>0.5</v>
      </c>
      <c r="D142" s="26" t="s">
        <v>120</v>
      </c>
      <c r="E142" s="26">
        <v>576600</v>
      </c>
      <c r="F142" s="26">
        <v>576600</v>
      </c>
      <c r="G142" s="26">
        <v>10000</v>
      </c>
      <c r="H142" s="61"/>
      <c r="I142" s="18"/>
      <c r="J142" s="19"/>
    </row>
    <row r="143" spans="1:10" ht="105" x14ac:dyDescent="0.25">
      <c r="A143" s="58" t="s">
        <v>125</v>
      </c>
      <c r="B143" s="26" t="s">
        <v>126</v>
      </c>
      <c r="C143" s="26">
        <v>1.6</v>
      </c>
      <c r="D143" s="26" t="s">
        <v>128</v>
      </c>
      <c r="E143" s="26">
        <v>582600</v>
      </c>
      <c r="F143" s="26">
        <v>580000</v>
      </c>
      <c r="G143" s="26">
        <v>13400</v>
      </c>
      <c r="H143" s="61" t="s">
        <v>130</v>
      </c>
      <c r="I143" s="18"/>
      <c r="J143" s="19"/>
    </row>
    <row r="144" spans="1:10" x14ac:dyDescent="0.25">
      <c r="A144" s="17"/>
      <c r="B144" s="18"/>
      <c r="C144" s="18"/>
      <c r="D144" s="18"/>
      <c r="E144" s="18"/>
      <c r="F144" s="18"/>
      <c r="G144" s="18"/>
      <c r="H144" s="18"/>
      <c r="I144" s="18"/>
      <c r="J144" s="19"/>
    </row>
    <row r="145" spans="1:10" x14ac:dyDescent="0.25">
      <c r="A145" s="22"/>
      <c r="B145" s="23"/>
      <c r="C145" s="23"/>
      <c r="D145" s="23"/>
      <c r="E145" s="23"/>
      <c r="F145" s="23"/>
      <c r="G145" s="23"/>
      <c r="H145" s="23"/>
      <c r="I145" s="23"/>
      <c r="J145" s="24"/>
    </row>
  </sheetData>
  <mergeCells count="12">
    <mergeCell ref="A102:E102"/>
    <mergeCell ref="A103:C103"/>
    <mergeCell ref="A105:C105"/>
    <mergeCell ref="D136:H136"/>
    <mergeCell ref="C3:D3"/>
    <mergeCell ref="C2:D2"/>
    <mergeCell ref="A30:D30"/>
    <mergeCell ref="A50:AD50"/>
    <mergeCell ref="A68:C68"/>
    <mergeCell ref="A65:E65"/>
    <mergeCell ref="A66:C66"/>
    <mergeCell ref="A12:D12"/>
  </mergeCells>
  <pageMargins left="0.25" right="0.25" top="0.75" bottom="0.75" header="0.3" footer="0.3"/>
  <pageSetup scale="30" fitToHeight="0" orientation="landscape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Reed</dc:creator>
  <cp:lastModifiedBy>Brendan Reed</cp:lastModifiedBy>
  <cp:lastPrinted>2026-03-21T01:03:09Z</cp:lastPrinted>
  <dcterms:created xsi:type="dcterms:W3CDTF">2026-03-20T22:44:21Z</dcterms:created>
  <dcterms:modified xsi:type="dcterms:W3CDTF">2026-03-21T01:04:17Z</dcterms:modified>
</cp:coreProperties>
</file>